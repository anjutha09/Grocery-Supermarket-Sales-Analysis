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ta Analytics\excel work out\"/>
    </mc:Choice>
  </mc:AlternateContent>
  <xr:revisionPtr revIDLastSave="0" documentId="13_ncr:1_{A166BB42-FB0F-4311-93EF-DBDC3595FDFF}" xr6:coauthVersionLast="47" xr6:coauthVersionMax="47" xr10:uidLastSave="{00000000-0000-0000-0000-000000000000}"/>
  <bookViews>
    <workbookView xWindow="-120" yWindow="-120" windowWidth="20730" windowHeight="11760" firstSheet="1" activeTab="1" xr2:uid="{00000000-000D-0000-FFFF-FFFF00000000}"/>
  </bookViews>
  <sheets>
    <sheet name="Pivot Analyse" sheetId="7" r:id="rId1"/>
    <sheet name="Dashboard" sheetId="8" r:id="rId2"/>
    <sheet name="Sales_Raw" sheetId="1" r:id="rId3"/>
    <sheet name="Products_Master" sheetId="2" r:id="rId4"/>
    <sheet name="Customers_Master" sheetId="3" r:id="rId5"/>
    <sheet name="Insights" sheetId="10" r:id="rId6"/>
  </sheets>
  <definedNames>
    <definedName name="Slicer_Category">#N/A</definedName>
    <definedName name="Slicer_Clean_Branch">#N/A</definedName>
    <definedName name="Slicer_Membershi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7" l="1"/>
  <c r="J1" i="8" s="1"/>
  <c r="H1" i="8"/>
  <c r="F1" i="8"/>
  <c r="D2" i="8"/>
  <c r="N5" i="7"/>
  <c r="N6" i="7"/>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AB2" i="1"/>
  <c r="AC2" i="1" s="1"/>
  <c r="AB3" i="1"/>
  <c r="AC3" i="1" s="1"/>
  <c r="AB4" i="1"/>
  <c r="AC4" i="1" s="1"/>
  <c r="AB5" i="1"/>
  <c r="AC5" i="1" s="1"/>
  <c r="AB6" i="1"/>
  <c r="AC6" i="1" s="1"/>
  <c r="AB7" i="1"/>
  <c r="AC7" i="1" s="1"/>
  <c r="AB8" i="1"/>
  <c r="AC8" i="1" s="1"/>
  <c r="AB9" i="1"/>
  <c r="AC9" i="1" s="1"/>
  <c r="AB10" i="1"/>
  <c r="AC10" i="1" s="1"/>
  <c r="AB11" i="1"/>
  <c r="AC11" i="1" s="1"/>
  <c r="AB12" i="1"/>
  <c r="AC12" i="1" s="1"/>
  <c r="AB13" i="1"/>
  <c r="AC13" i="1" s="1"/>
  <c r="AB14" i="1"/>
  <c r="AC14" i="1" s="1"/>
  <c r="AB15" i="1"/>
  <c r="AC15" i="1" s="1"/>
  <c r="AB16" i="1"/>
  <c r="AC16" i="1" s="1"/>
  <c r="AB17" i="1"/>
  <c r="AC17" i="1" s="1"/>
  <c r="AB18" i="1"/>
  <c r="AC18" i="1" s="1"/>
  <c r="AB19" i="1"/>
  <c r="AC19" i="1" s="1"/>
  <c r="AB20" i="1"/>
  <c r="AC20" i="1" s="1"/>
  <c r="AB21" i="1"/>
  <c r="AC21" i="1" s="1"/>
  <c r="AB22" i="1"/>
  <c r="AC22" i="1" s="1"/>
  <c r="AB23" i="1"/>
  <c r="AC23" i="1" s="1"/>
  <c r="AB24" i="1"/>
  <c r="AC24" i="1" s="1"/>
  <c r="AB25" i="1"/>
  <c r="AC25" i="1" s="1"/>
  <c r="AB26" i="1"/>
  <c r="AC26" i="1" s="1"/>
  <c r="AB27" i="1"/>
  <c r="AC27" i="1" s="1"/>
  <c r="AB28" i="1"/>
  <c r="AC28" i="1" s="1"/>
  <c r="AB29" i="1"/>
  <c r="AC29" i="1" s="1"/>
  <c r="AB30" i="1"/>
  <c r="AC30" i="1" s="1"/>
  <c r="AB31" i="1"/>
  <c r="AC31" i="1" s="1"/>
  <c r="AB32" i="1"/>
  <c r="AC32" i="1" s="1"/>
  <c r="AB33" i="1"/>
  <c r="AC33" i="1" s="1"/>
  <c r="AB34" i="1"/>
  <c r="AC34" i="1" s="1"/>
  <c r="AB35" i="1"/>
  <c r="AC35" i="1" s="1"/>
  <c r="AB36" i="1"/>
  <c r="AC36" i="1" s="1"/>
  <c r="AB37" i="1"/>
  <c r="AC37" i="1" s="1"/>
  <c r="AB38" i="1"/>
  <c r="AC38" i="1" s="1"/>
  <c r="AB39" i="1"/>
  <c r="AC39" i="1" s="1"/>
  <c r="AB40" i="1"/>
  <c r="AC40" i="1" s="1"/>
  <c r="AB41" i="1"/>
  <c r="AC41" i="1" s="1"/>
  <c r="AB42" i="1"/>
  <c r="AC42" i="1" s="1"/>
  <c r="AB43" i="1"/>
  <c r="AC43" i="1" s="1"/>
  <c r="AB44" i="1"/>
  <c r="AC44" i="1" s="1"/>
  <c r="AB45" i="1"/>
  <c r="AC45" i="1" s="1"/>
  <c r="AB46" i="1"/>
  <c r="AC46" i="1" s="1"/>
  <c r="AB47" i="1"/>
  <c r="AC47" i="1" s="1"/>
  <c r="AB48" i="1"/>
  <c r="AC48" i="1" s="1"/>
  <c r="AB49" i="1"/>
  <c r="AC49" i="1" s="1"/>
  <c r="AB50" i="1"/>
  <c r="AC50" i="1" s="1"/>
  <c r="AB51" i="1"/>
  <c r="AC51" i="1" s="1"/>
  <c r="AB52" i="1"/>
  <c r="AC52" i="1" s="1"/>
  <c r="AB53" i="1"/>
  <c r="AC53" i="1" s="1"/>
  <c r="AB54" i="1"/>
  <c r="AC54" i="1" s="1"/>
  <c r="AB55" i="1"/>
  <c r="AC55" i="1" s="1"/>
  <c r="AB56" i="1"/>
  <c r="AC56" i="1" s="1"/>
  <c r="AB57" i="1"/>
  <c r="AC57" i="1" s="1"/>
  <c r="AB58" i="1"/>
  <c r="AC58" i="1" s="1"/>
  <c r="AB59" i="1"/>
  <c r="AC59" i="1" s="1"/>
  <c r="AB60" i="1"/>
  <c r="AC60" i="1" s="1"/>
  <c r="AB61" i="1"/>
  <c r="AC61" i="1" s="1"/>
  <c r="AB62" i="1"/>
  <c r="AC62" i="1" s="1"/>
  <c r="AB63" i="1"/>
  <c r="AC63" i="1" s="1"/>
  <c r="AB64" i="1"/>
  <c r="AC64" i="1" s="1"/>
  <c r="AB65" i="1"/>
  <c r="AC65" i="1" s="1"/>
  <c r="AB66" i="1"/>
  <c r="AC66" i="1" s="1"/>
  <c r="AB67" i="1"/>
  <c r="AC67" i="1" s="1"/>
  <c r="AB68" i="1"/>
  <c r="AC68" i="1" s="1"/>
  <c r="AB69" i="1"/>
  <c r="AC69" i="1" s="1"/>
  <c r="AB70" i="1"/>
  <c r="AC70" i="1" s="1"/>
  <c r="AB71" i="1"/>
  <c r="AC71" i="1" s="1"/>
  <c r="AB72" i="1"/>
  <c r="AC72" i="1" s="1"/>
  <c r="AB73" i="1"/>
  <c r="AC73" i="1" s="1"/>
  <c r="AB74" i="1"/>
  <c r="AC74" i="1" s="1"/>
  <c r="AB75" i="1"/>
  <c r="AC75" i="1" s="1"/>
  <c r="AB76" i="1"/>
  <c r="AC76" i="1" s="1"/>
  <c r="AB77" i="1"/>
  <c r="AC77" i="1" s="1"/>
  <c r="AB78" i="1"/>
  <c r="AC78" i="1" s="1"/>
  <c r="AB79" i="1"/>
  <c r="AC79" i="1" s="1"/>
  <c r="AB80" i="1"/>
  <c r="AC80" i="1" s="1"/>
  <c r="AB81" i="1"/>
  <c r="AC81" i="1" s="1"/>
  <c r="AB82" i="1"/>
  <c r="AC82" i="1" s="1"/>
  <c r="AB83" i="1"/>
  <c r="AC83" i="1" s="1"/>
  <c r="AB84" i="1"/>
  <c r="AC84" i="1" s="1"/>
  <c r="AB85" i="1"/>
  <c r="AC85" i="1" s="1"/>
  <c r="AB86" i="1"/>
  <c r="AC86" i="1" s="1"/>
  <c r="AB87" i="1"/>
  <c r="AC87" i="1" s="1"/>
  <c r="AB88" i="1"/>
  <c r="AC88" i="1" s="1"/>
  <c r="AB89" i="1"/>
  <c r="AC89" i="1" s="1"/>
  <c r="AB90" i="1"/>
  <c r="AC90" i="1" s="1"/>
  <c r="AB91" i="1"/>
  <c r="AC91" i="1" s="1"/>
  <c r="AB92" i="1"/>
  <c r="AC92" i="1" s="1"/>
  <c r="AB93" i="1"/>
  <c r="AC93" i="1" s="1"/>
  <c r="AB94" i="1"/>
  <c r="AC94" i="1" s="1"/>
  <c r="AB95" i="1"/>
  <c r="AC95" i="1" s="1"/>
  <c r="AB96" i="1"/>
  <c r="AC96" i="1" s="1"/>
  <c r="AB97" i="1"/>
  <c r="AC97" i="1" s="1"/>
  <c r="AB98" i="1"/>
  <c r="AC98" i="1" s="1"/>
  <c r="AB99" i="1"/>
  <c r="AC99" i="1" s="1"/>
  <c r="AB100" i="1"/>
  <c r="AC100" i="1" s="1"/>
  <c r="AB101" i="1"/>
  <c r="AC101" i="1" s="1"/>
  <c r="AB102" i="1"/>
  <c r="AC102" i="1" s="1"/>
  <c r="AB103" i="1"/>
  <c r="AC103" i="1" s="1"/>
  <c r="AB104" i="1"/>
  <c r="AC104" i="1" s="1"/>
  <c r="AB105" i="1"/>
  <c r="AC105" i="1" s="1"/>
  <c r="AB106" i="1"/>
  <c r="AC106" i="1" s="1"/>
  <c r="AB107" i="1"/>
  <c r="AC107" i="1" s="1"/>
  <c r="AB108" i="1"/>
  <c r="AC108" i="1" s="1"/>
  <c r="AB109" i="1"/>
  <c r="AC109" i="1" s="1"/>
  <c r="AB110" i="1"/>
  <c r="AC110" i="1" s="1"/>
  <c r="AB111" i="1"/>
  <c r="AC111" i="1" s="1"/>
  <c r="AB112" i="1"/>
  <c r="AC112" i="1" s="1"/>
  <c r="AB113" i="1"/>
  <c r="AC113" i="1" s="1"/>
  <c r="AB114" i="1"/>
  <c r="AC114" i="1" s="1"/>
  <c r="AB115" i="1"/>
  <c r="AC115" i="1" s="1"/>
  <c r="AB116" i="1"/>
  <c r="AC116" i="1" s="1"/>
  <c r="AB117" i="1"/>
  <c r="AC117" i="1" s="1"/>
  <c r="AB118" i="1"/>
  <c r="AC118" i="1" s="1"/>
  <c r="AB119" i="1"/>
  <c r="AC119" i="1" s="1"/>
  <c r="AB120" i="1"/>
  <c r="AC120" i="1" s="1"/>
  <c r="AB121" i="1"/>
  <c r="AC121" i="1" s="1"/>
  <c r="AB122" i="1"/>
  <c r="AC122" i="1" s="1"/>
  <c r="AB123" i="1"/>
  <c r="AC123" i="1" s="1"/>
  <c r="AB124" i="1"/>
  <c r="AC124" i="1" s="1"/>
  <c r="AB125" i="1"/>
  <c r="AC125" i="1" s="1"/>
  <c r="AB126" i="1"/>
  <c r="AC126" i="1" s="1"/>
  <c r="AB127" i="1"/>
  <c r="AC127" i="1" s="1"/>
  <c r="AB128" i="1"/>
  <c r="AC128" i="1" s="1"/>
  <c r="AB129" i="1"/>
  <c r="AC129" i="1" s="1"/>
  <c r="AB130" i="1"/>
  <c r="AC130" i="1" s="1"/>
  <c r="AB131" i="1"/>
  <c r="AC131" i="1" s="1"/>
  <c r="AB132" i="1"/>
  <c r="AC132" i="1" s="1"/>
  <c r="AB133" i="1"/>
  <c r="AC133" i="1" s="1"/>
  <c r="AB134" i="1"/>
  <c r="AC134" i="1" s="1"/>
  <c r="AB135" i="1"/>
  <c r="AC135" i="1" s="1"/>
  <c r="AB136" i="1"/>
  <c r="AC136" i="1" s="1"/>
  <c r="AB137" i="1"/>
  <c r="AC137" i="1" s="1"/>
  <c r="AB138" i="1"/>
  <c r="AC138" i="1" s="1"/>
  <c r="AB139" i="1"/>
  <c r="AC139" i="1" s="1"/>
  <c r="AB140" i="1"/>
  <c r="AC140" i="1" s="1"/>
  <c r="AB141" i="1"/>
  <c r="AC141" i="1" s="1"/>
  <c r="AB142" i="1"/>
  <c r="AC142" i="1" s="1"/>
  <c r="AB143" i="1"/>
  <c r="AC143" i="1" s="1"/>
  <c r="AB144" i="1"/>
  <c r="AC144" i="1" s="1"/>
  <c r="AB145" i="1"/>
  <c r="AC145" i="1" s="1"/>
  <c r="AB146" i="1"/>
  <c r="AC146" i="1" s="1"/>
  <c r="AB147" i="1"/>
  <c r="AC147" i="1" s="1"/>
  <c r="AB148" i="1"/>
  <c r="AC148" i="1" s="1"/>
  <c r="AB149" i="1"/>
  <c r="AC149" i="1" s="1"/>
  <c r="AB150" i="1"/>
  <c r="AC150" i="1" s="1"/>
  <c r="AB151" i="1"/>
  <c r="AC151" i="1" s="1"/>
  <c r="AB152" i="1"/>
  <c r="AC152" i="1" s="1"/>
  <c r="AB153" i="1"/>
  <c r="AC153" i="1" s="1"/>
  <c r="AB154" i="1"/>
  <c r="AC154" i="1" s="1"/>
  <c r="AB155" i="1"/>
  <c r="AC155" i="1" s="1"/>
  <c r="AB156" i="1"/>
  <c r="AC156" i="1" s="1"/>
  <c r="AB157" i="1"/>
  <c r="AC157" i="1" s="1"/>
  <c r="AB158" i="1"/>
  <c r="AC158" i="1" s="1"/>
  <c r="AB159" i="1"/>
  <c r="AC159" i="1" s="1"/>
  <c r="AB160" i="1"/>
  <c r="AC160" i="1" s="1"/>
  <c r="AB161" i="1"/>
  <c r="AC161" i="1" s="1"/>
  <c r="AB162" i="1"/>
  <c r="AC162" i="1" s="1"/>
  <c r="AB163" i="1"/>
  <c r="AC163" i="1" s="1"/>
  <c r="AB164" i="1"/>
  <c r="AC164" i="1" s="1"/>
  <c r="AB165" i="1"/>
  <c r="AC165" i="1" s="1"/>
  <c r="AB166" i="1"/>
  <c r="AC166" i="1" s="1"/>
  <c r="AB167" i="1"/>
  <c r="AC167" i="1" s="1"/>
  <c r="AB168" i="1"/>
  <c r="AC168" i="1" s="1"/>
  <c r="AB169" i="1"/>
  <c r="AC169" i="1" s="1"/>
  <c r="AB170" i="1"/>
  <c r="AC170" i="1" s="1"/>
  <c r="AB171" i="1"/>
  <c r="AC171" i="1" s="1"/>
  <c r="AB172" i="1"/>
  <c r="AC172" i="1" s="1"/>
  <c r="AB173" i="1"/>
  <c r="AC173" i="1" s="1"/>
  <c r="AB174" i="1"/>
  <c r="AC174" i="1" s="1"/>
  <c r="AB175" i="1"/>
  <c r="AC175" i="1" s="1"/>
  <c r="AB176" i="1"/>
  <c r="AC176" i="1" s="1"/>
  <c r="AB177" i="1"/>
  <c r="AC177" i="1" s="1"/>
  <c r="AB178" i="1"/>
  <c r="AC178" i="1" s="1"/>
  <c r="AB179" i="1"/>
  <c r="AC179" i="1" s="1"/>
  <c r="AB180" i="1"/>
  <c r="AC180" i="1" s="1"/>
  <c r="AB181" i="1"/>
  <c r="AC181" i="1" s="1"/>
  <c r="AB182" i="1"/>
  <c r="AC182" i="1" s="1"/>
  <c r="AB183" i="1"/>
  <c r="AC183" i="1" s="1"/>
  <c r="AB184" i="1"/>
  <c r="AC184" i="1" s="1"/>
  <c r="AB185" i="1"/>
  <c r="AC185" i="1" s="1"/>
  <c r="AB186" i="1"/>
  <c r="AC186" i="1" s="1"/>
  <c r="AB187" i="1"/>
  <c r="AC187" i="1" s="1"/>
  <c r="AB188" i="1"/>
  <c r="AC188" i="1" s="1"/>
  <c r="AB189" i="1"/>
  <c r="AC189" i="1" s="1"/>
  <c r="AB190" i="1"/>
  <c r="AC190" i="1" s="1"/>
  <c r="AB191" i="1"/>
  <c r="AC191" i="1" s="1"/>
  <c r="AB192" i="1"/>
  <c r="AC192" i="1" s="1"/>
  <c r="AB193" i="1"/>
  <c r="AC193" i="1" s="1"/>
  <c r="AB194" i="1"/>
  <c r="AC194" i="1" s="1"/>
  <c r="AB195" i="1"/>
  <c r="AC195" i="1" s="1"/>
  <c r="AB196" i="1"/>
  <c r="AC196" i="1" s="1"/>
  <c r="AB197" i="1"/>
  <c r="AC197" i="1" s="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Q168" i="1" s="1"/>
  <c r="E169" i="1"/>
  <c r="Q169" i="1" s="1"/>
  <c r="E170" i="1"/>
  <c r="Q170" i="1" s="1"/>
  <c r="E171" i="1"/>
  <c r="Q171" i="1" s="1"/>
  <c r="E172" i="1"/>
  <c r="Q172" i="1" s="1"/>
  <c r="E173" i="1"/>
  <c r="Q173" i="1" s="1"/>
  <c r="E174" i="1"/>
  <c r="Q174" i="1" s="1"/>
  <c r="E175" i="1"/>
  <c r="E176" i="1"/>
  <c r="E177" i="1"/>
  <c r="E178" i="1"/>
  <c r="E179" i="1"/>
  <c r="E180" i="1"/>
  <c r="E181" i="1"/>
  <c r="E182" i="1"/>
  <c r="E183" i="1"/>
  <c r="E184" i="1"/>
  <c r="E185" i="1"/>
  <c r="E186" i="1"/>
  <c r="E187" i="1"/>
  <c r="E188" i="1"/>
  <c r="E189" i="1"/>
  <c r="E190" i="1"/>
  <c r="E191" i="1"/>
  <c r="E192" i="1"/>
  <c r="E193" i="1"/>
  <c r="E194" i="1"/>
  <c r="E195" i="1"/>
  <c r="E196" i="1"/>
  <c r="E197" i="1"/>
  <c r="N4" i="7" l="1"/>
  <c r="N7" i="7" s="1"/>
  <c r="P116" i="1"/>
  <c r="T116" i="1"/>
  <c r="Q116" i="1"/>
  <c r="R116" i="1"/>
  <c r="S116" i="1"/>
  <c r="AD116" i="1" s="1"/>
  <c r="U116" i="1"/>
  <c r="S117" i="1"/>
  <c r="AD117" i="1" s="1"/>
  <c r="T117" i="1"/>
  <c r="R117" i="1"/>
  <c r="Q117" i="1"/>
  <c r="R118" i="1"/>
  <c r="Q118" i="1"/>
  <c r="T118" i="1"/>
  <c r="S118" i="1"/>
  <c r="AD118" i="1" s="1"/>
  <c r="Q119" i="1"/>
  <c r="R119" i="1"/>
  <c r="T119" i="1"/>
  <c r="S119" i="1"/>
  <c r="AD119" i="1" s="1"/>
  <c r="S120" i="1"/>
  <c r="AD120" i="1" s="1"/>
  <c r="T120" i="1"/>
  <c r="Q120" i="1"/>
  <c r="R120" i="1"/>
  <c r="T121" i="1"/>
  <c r="S121" i="1"/>
  <c r="AD121" i="1" s="1"/>
  <c r="R121" i="1"/>
  <c r="Q121" i="1"/>
  <c r="Q122" i="1"/>
  <c r="T122" i="1"/>
  <c r="R122" i="1"/>
  <c r="S122" i="1"/>
  <c r="AD122" i="1" s="1"/>
  <c r="R123" i="1"/>
  <c r="Q123" i="1"/>
  <c r="S123" i="1"/>
  <c r="AD123" i="1" s="1"/>
  <c r="T123" i="1"/>
  <c r="R124" i="1"/>
  <c r="S124" i="1"/>
  <c r="AD124" i="1" s="1"/>
  <c r="T124" i="1"/>
  <c r="Q124" i="1"/>
  <c r="Q125" i="1"/>
  <c r="S125" i="1"/>
  <c r="AD125" i="1" s="1"/>
  <c r="R125" i="1"/>
  <c r="T125" i="1"/>
  <c r="T126" i="1"/>
  <c r="R126" i="1"/>
  <c r="Q126" i="1"/>
  <c r="S126" i="1"/>
  <c r="AD126" i="1" s="1"/>
  <c r="S127" i="1"/>
  <c r="AD127" i="1" s="1"/>
  <c r="R127" i="1"/>
  <c r="Q127" i="1"/>
  <c r="Q128" i="1"/>
  <c r="S128" i="1"/>
  <c r="AD128" i="1" s="1"/>
  <c r="R128" i="1"/>
  <c r="Q129" i="1"/>
  <c r="R129" i="1"/>
  <c r="S129" i="1"/>
  <c r="AD129" i="1" s="1"/>
  <c r="S130" i="1"/>
  <c r="AD130" i="1" s="1"/>
  <c r="R130" i="1"/>
  <c r="Q130" i="1"/>
  <c r="S131" i="1"/>
  <c r="AD131" i="1" s="1"/>
  <c r="Q131" i="1"/>
  <c r="R131" i="1"/>
  <c r="Q132" i="1"/>
  <c r="S132" i="1"/>
  <c r="AD132" i="1" s="1"/>
  <c r="R132" i="1"/>
  <c r="S133" i="1"/>
  <c r="AD133" i="1" s="1"/>
  <c r="R133" i="1"/>
  <c r="Q133" i="1"/>
  <c r="S134" i="1"/>
  <c r="AD134" i="1" s="1"/>
  <c r="R134" i="1"/>
  <c r="Q134" i="1"/>
  <c r="S135" i="1"/>
  <c r="AD135" i="1" s="1"/>
  <c r="Q135" i="1"/>
  <c r="R135" i="1"/>
  <c r="R136" i="1"/>
  <c r="S136" i="1"/>
  <c r="AD136" i="1" s="1"/>
  <c r="Q136" i="1"/>
  <c r="Q137" i="1"/>
  <c r="S137" i="1"/>
  <c r="AD137" i="1" s="1"/>
  <c r="R137" i="1"/>
  <c r="S138" i="1"/>
  <c r="AD138" i="1" s="1"/>
  <c r="R138" i="1"/>
  <c r="Q138" i="1"/>
  <c r="S139" i="1"/>
  <c r="AD139" i="1" s="1"/>
  <c r="Q139" i="1"/>
  <c r="R139" i="1"/>
  <c r="Q140" i="1"/>
  <c r="S140" i="1"/>
  <c r="AD140" i="1" s="1"/>
  <c r="R140" i="1"/>
  <c r="S141" i="1"/>
  <c r="AD141" i="1" s="1"/>
  <c r="R141" i="1"/>
  <c r="Q141" i="1"/>
  <c r="S142" i="1"/>
  <c r="AD142" i="1" s="1"/>
  <c r="Q142" i="1"/>
  <c r="R142" i="1"/>
  <c r="Q143" i="1"/>
  <c r="R143" i="1"/>
  <c r="R144" i="1"/>
  <c r="Q144" i="1"/>
  <c r="Q145" i="1"/>
  <c r="R145" i="1"/>
  <c r="Q146" i="1"/>
  <c r="R146" i="1"/>
  <c r="R147" i="1"/>
  <c r="Q147" i="1"/>
  <c r="Q148" i="1"/>
  <c r="R148" i="1"/>
  <c r="Q149" i="1"/>
  <c r="R149" i="1"/>
  <c r="Q150" i="1"/>
  <c r="R150" i="1"/>
  <c r="Q151" i="1"/>
  <c r="R151" i="1"/>
  <c r="Q152" i="1"/>
  <c r="R152" i="1"/>
  <c r="Q153" i="1"/>
  <c r="R153" i="1"/>
  <c r="Q154" i="1"/>
  <c r="R154" i="1"/>
  <c r="R155" i="1"/>
  <c r="Q155" i="1"/>
  <c r="Q156" i="1"/>
  <c r="R156" i="1"/>
  <c r="R157" i="1"/>
  <c r="Q157" i="1"/>
  <c r="Q158" i="1"/>
  <c r="R158" i="1"/>
  <c r="R159" i="1"/>
  <c r="Q159" i="1"/>
  <c r="Q160" i="1"/>
  <c r="R160" i="1"/>
  <c r="R161" i="1"/>
  <c r="Q161" i="1"/>
  <c r="Q162" i="1"/>
  <c r="R162" i="1"/>
  <c r="Q163" i="1"/>
  <c r="R163" i="1"/>
  <c r="R164" i="1"/>
  <c r="Q164" i="1"/>
  <c r="Q165" i="1"/>
  <c r="R165" i="1"/>
  <c r="Q166" i="1"/>
  <c r="R166" i="1"/>
  <c r="Q167" i="1"/>
  <c r="R167" i="1"/>
  <c r="U2" i="1"/>
  <c r="T2" i="1"/>
  <c r="P2" i="1"/>
  <c r="S2" i="1"/>
  <c r="AD2" i="1" s="1"/>
  <c r="Q2" i="1"/>
  <c r="R2" i="1"/>
  <c r="P3" i="1"/>
  <c r="T3" i="1"/>
  <c r="R3" i="1"/>
  <c r="S3" i="1"/>
  <c r="AD3" i="1" s="1"/>
  <c r="U3" i="1"/>
  <c r="Q3" i="1"/>
  <c r="P4" i="1"/>
  <c r="T4" i="1"/>
  <c r="U4" i="1"/>
  <c r="S4" i="1"/>
  <c r="AD4" i="1" s="1"/>
  <c r="R4" i="1"/>
  <c r="Q4" i="1"/>
  <c r="P5" i="1"/>
  <c r="T5" i="1"/>
  <c r="S5" i="1"/>
  <c r="AD5" i="1" s="1"/>
  <c r="U5" i="1"/>
  <c r="Q5" i="1"/>
  <c r="R5" i="1"/>
  <c r="P6" i="1"/>
  <c r="T6" i="1"/>
  <c r="R6" i="1"/>
  <c r="Q6" i="1"/>
  <c r="U6" i="1"/>
  <c r="S6" i="1"/>
  <c r="AD6" i="1" s="1"/>
  <c r="P7" i="1"/>
  <c r="R7" i="1"/>
  <c r="Q7" i="1"/>
  <c r="T7" i="1"/>
  <c r="U7" i="1"/>
  <c r="S7" i="1"/>
  <c r="AD7" i="1" s="1"/>
  <c r="P8" i="1"/>
  <c r="S8" i="1"/>
  <c r="AD8" i="1" s="1"/>
  <c r="T8" i="1"/>
  <c r="Q8" i="1"/>
  <c r="R8" i="1"/>
  <c r="U8" i="1"/>
  <c r="P9" i="1"/>
  <c r="U9" i="1"/>
  <c r="R9" i="1"/>
  <c r="Q9" i="1"/>
  <c r="T9" i="1"/>
  <c r="S9" i="1"/>
  <c r="AD9" i="1" s="1"/>
  <c r="P10" i="1"/>
  <c r="T10" i="1"/>
  <c r="R10" i="1"/>
  <c r="Q10" i="1"/>
  <c r="S10" i="1"/>
  <c r="AD10" i="1" s="1"/>
  <c r="U10" i="1"/>
  <c r="P11" i="1"/>
  <c r="R11" i="1"/>
  <c r="Q11" i="1"/>
  <c r="S11" i="1"/>
  <c r="AD11" i="1" s="1"/>
  <c r="T11" i="1"/>
  <c r="U11" i="1"/>
  <c r="P12" i="1"/>
  <c r="S12" i="1"/>
  <c r="AD12" i="1" s="1"/>
  <c r="Q12" i="1"/>
  <c r="T12" i="1"/>
  <c r="R12" i="1"/>
  <c r="U12" i="1"/>
  <c r="P13" i="1"/>
  <c r="U13" i="1"/>
  <c r="S13" i="1"/>
  <c r="AD13" i="1" s="1"/>
  <c r="Q13" i="1"/>
  <c r="R13" i="1"/>
  <c r="T13" i="1"/>
  <c r="P14" i="1"/>
  <c r="R14" i="1"/>
  <c r="Q14" i="1"/>
  <c r="S14" i="1"/>
  <c r="AD14" i="1" s="1"/>
  <c r="U14" i="1"/>
  <c r="T14" i="1"/>
  <c r="P15" i="1"/>
  <c r="S15" i="1"/>
  <c r="AD15" i="1" s="1"/>
  <c r="R15" i="1"/>
  <c r="T15" i="1"/>
  <c r="Q15" i="1"/>
  <c r="U15" i="1"/>
  <c r="P16" i="1"/>
  <c r="U16" i="1"/>
  <c r="R16" i="1"/>
  <c r="T16" i="1"/>
  <c r="S16" i="1"/>
  <c r="AD16" i="1" s="1"/>
  <c r="Q16" i="1"/>
  <c r="P17" i="1"/>
  <c r="S17" i="1"/>
  <c r="AD17" i="1" s="1"/>
  <c r="Q17" i="1"/>
  <c r="R17" i="1"/>
  <c r="T17" i="1"/>
  <c r="U17" i="1"/>
  <c r="P18" i="1"/>
  <c r="U18" i="1"/>
  <c r="T18" i="1"/>
  <c r="Q18" i="1"/>
  <c r="S18" i="1"/>
  <c r="AD18" i="1" s="1"/>
  <c r="R18" i="1"/>
  <c r="P19" i="1"/>
  <c r="Q19" i="1"/>
  <c r="U19" i="1"/>
  <c r="S19" i="1"/>
  <c r="AD19" i="1" s="1"/>
  <c r="R19" i="1"/>
  <c r="T19" i="1"/>
  <c r="P20" i="1"/>
  <c r="T20" i="1"/>
  <c r="Q20" i="1"/>
  <c r="S20" i="1"/>
  <c r="AD20" i="1" s="1"/>
  <c r="R20" i="1"/>
  <c r="U20" i="1"/>
  <c r="P21" i="1"/>
  <c r="R21" i="1"/>
  <c r="U21" i="1"/>
  <c r="Q21" i="1"/>
  <c r="S21" i="1"/>
  <c r="AD21" i="1" s="1"/>
  <c r="T21" i="1"/>
  <c r="P22" i="1"/>
  <c r="S22" i="1"/>
  <c r="AD22" i="1" s="1"/>
  <c r="Q22" i="1"/>
  <c r="R22" i="1"/>
  <c r="T22" i="1"/>
  <c r="U22" i="1"/>
  <c r="P23" i="1"/>
  <c r="T23" i="1"/>
  <c r="U23" i="1"/>
  <c r="S23" i="1"/>
  <c r="AD23" i="1" s="1"/>
  <c r="R23" i="1"/>
  <c r="Q23" i="1"/>
  <c r="P24" i="1"/>
  <c r="R24" i="1"/>
  <c r="S24" i="1"/>
  <c r="AD24" i="1" s="1"/>
  <c r="U24" i="1"/>
  <c r="T24" i="1"/>
  <c r="Q24" i="1"/>
  <c r="P25" i="1"/>
  <c r="S25" i="1"/>
  <c r="AD25" i="1" s="1"/>
  <c r="Q25" i="1"/>
  <c r="T25" i="1"/>
  <c r="R25" i="1"/>
  <c r="U25" i="1"/>
  <c r="P26" i="1"/>
  <c r="Q26" i="1"/>
  <c r="T26" i="1"/>
  <c r="U26" i="1"/>
  <c r="R26" i="1"/>
  <c r="S26" i="1"/>
  <c r="AD26" i="1" s="1"/>
  <c r="P27" i="1"/>
  <c r="U27" i="1"/>
  <c r="S27" i="1"/>
  <c r="AD27" i="1" s="1"/>
  <c r="Q27" i="1"/>
  <c r="T27" i="1"/>
  <c r="R27" i="1"/>
  <c r="P28" i="1"/>
  <c r="S28" i="1"/>
  <c r="AD28" i="1" s="1"/>
  <c r="U28" i="1"/>
  <c r="Q28" i="1"/>
  <c r="R28" i="1"/>
  <c r="T28" i="1"/>
  <c r="P29" i="1"/>
  <c r="T29" i="1"/>
  <c r="S29" i="1"/>
  <c r="AD29" i="1" s="1"/>
  <c r="Q29" i="1"/>
  <c r="U29" i="1"/>
  <c r="R29" i="1"/>
  <c r="P30" i="1"/>
  <c r="Q30" i="1"/>
  <c r="S30" i="1"/>
  <c r="AD30" i="1" s="1"/>
  <c r="R30" i="1"/>
  <c r="U30" i="1"/>
  <c r="T30" i="1"/>
  <c r="P31" i="1"/>
  <c r="Q31" i="1"/>
  <c r="S31" i="1"/>
  <c r="AD31" i="1" s="1"/>
  <c r="U31" i="1"/>
  <c r="T31" i="1"/>
  <c r="R31" i="1"/>
  <c r="P32" i="1"/>
  <c r="R32" i="1"/>
  <c r="S32" i="1"/>
  <c r="AD32" i="1" s="1"/>
  <c r="T32" i="1"/>
  <c r="Q32" i="1"/>
  <c r="U32" i="1"/>
  <c r="P33" i="1"/>
  <c r="S33" i="1"/>
  <c r="AD33" i="1" s="1"/>
  <c r="R33" i="1"/>
  <c r="U33" i="1"/>
  <c r="T33" i="1"/>
  <c r="Q33" i="1"/>
  <c r="P34" i="1"/>
  <c r="U34" i="1"/>
  <c r="T34" i="1"/>
  <c r="S34" i="1"/>
  <c r="AD34" i="1" s="1"/>
  <c r="Q34" i="1"/>
  <c r="R34" i="1"/>
  <c r="P35" i="1"/>
  <c r="S35" i="1"/>
  <c r="AD35" i="1" s="1"/>
  <c r="Q35" i="1"/>
  <c r="T35" i="1"/>
  <c r="R35" i="1"/>
  <c r="U35" i="1"/>
  <c r="P36" i="1"/>
  <c r="S36" i="1"/>
  <c r="AD36" i="1" s="1"/>
  <c r="R36" i="1"/>
  <c r="Q36" i="1"/>
  <c r="U36" i="1"/>
  <c r="T36" i="1"/>
  <c r="P37" i="1"/>
  <c r="Q37" i="1"/>
  <c r="R37" i="1"/>
  <c r="T37" i="1"/>
  <c r="U37" i="1"/>
  <c r="S37" i="1"/>
  <c r="AD37" i="1" s="1"/>
  <c r="P38" i="1"/>
  <c r="Q38" i="1"/>
  <c r="R38" i="1"/>
  <c r="T38" i="1"/>
  <c r="U38" i="1"/>
  <c r="S38" i="1"/>
  <c r="AD38" i="1" s="1"/>
  <c r="P39" i="1"/>
  <c r="S39" i="1"/>
  <c r="AD39" i="1" s="1"/>
  <c r="Q39" i="1"/>
  <c r="T39" i="1"/>
  <c r="R39" i="1"/>
  <c r="U39" i="1"/>
  <c r="P40" i="1"/>
  <c r="U40" i="1"/>
  <c r="Q40" i="1"/>
  <c r="S40" i="1"/>
  <c r="AD40" i="1" s="1"/>
  <c r="T40" i="1"/>
  <c r="R40" i="1"/>
  <c r="P41" i="1"/>
  <c r="T41" i="1"/>
  <c r="S41" i="1"/>
  <c r="AD41" i="1" s="1"/>
  <c r="Q41" i="1"/>
  <c r="R41" i="1"/>
  <c r="U41" i="1"/>
  <c r="P42" i="1"/>
  <c r="U42" i="1"/>
  <c r="S42" i="1"/>
  <c r="AD42" i="1" s="1"/>
  <c r="T42" i="1"/>
  <c r="Q42" i="1"/>
  <c r="R42" i="1"/>
  <c r="P43" i="1"/>
  <c r="T43" i="1"/>
  <c r="S43" i="1"/>
  <c r="AD43" i="1" s="1"/>
  <c r="R43" i="1"/>
  <c r="Q43" i="1"/>
  <c r="U43" i="1"/>
  <c r="P44" i="1"/>
  <c r="R44" i="1"/>
  <c r="S44" i="1"/>
  <c r="AD44" i="1" s="1"/>
  <c r="Q44" i="1"/>
  <c r="U44" i="1"/>
  <c r="T44" i="1"/>
  <c r="P45" i="1"/>
  <c r="U45" i="1"/>
  <c r="S45" i="1"/>
  <c r="AD45" i="1" s="1"/>
  <c r="Q45" i="1"/>
  <c r="T45" i="1"/>
  <c r="R45" i="1"/>
  <c r="P46" i="1"/>
  <c r="R46" i="1"/>
  <c r="S46" i="1"/>
  <c r="AD46" i="1" s="1"/>
  <c r="T46" i="1"/>
  <c r="Q46" i="1"/>
  <c r="U46" i="1"/>
  <c r="P47" i="1"/>
  <c r="T47" i="1"/>
  <c r="S47" i="1"/>
  <c r="AD47" i="1" s="1"/>
  <c r="U47" i="1"/>
  <c r="Q47" i="1"/>
  <c r="R47" i="1"/>
  <c r="P48" i="1"/>
  <c r="Q48" i="1"/>
  <c r="T48" i="1"/>
  <c r="R48" i="1"/>
  <c r="S48" i="1"/>
  <c r="AD48" i="1" s="1"/>
  <c r="U48" i="1"/>
  <c r="P49" i="1"/>
  <c r="S49" i="1"/>
  <c r="AD49" i="1" s="1"/>
  <c r="U49" i="1"/>
  <c r="R49" i="1"/>
  <c r="T49" i="1"/>
  <c r="Q49" i="1"/>
  <c r="P50" i="1"/>
  <c r="S50" i="1"/>
  <c r="AD50" i="1" s="1"/>
  <c r="R50" i="1"/>
  <c r="U50" i="1"/>
  <c r="T50" i="1"/>
  <c r="Q50" i="1"/>
  <c r="P51" i="1"/>
  <c r="Q51" i="1"/>
  <c r="U51" i="1"/>
  <c r="S51" i="1"/>
  <c r="AD51" i="1" s="1"/>
  <c r="R51" i="1"/>
  <c r="T51" i="1"/>
  <c r="P52" i="1"/>
  <c r="Q52" i="1"/>
  <c r="T52" i="1"/>
  <c r="S52" i="1"/>
  <c r="AD52" i="1" s="1"/>
  <c r="R52" i="1"/>
  <c r="U52" i="1"/>
  <c r="P53" i="1"/>
  <c r="Q53" i="1"/>
  <c r="R53" i="1"/>
  <c r="S53" i="1"/>
  <c r="AD53" i="1" s="1"/>
  <c r="T53" i="1"/>
  <c r="U53" i="1"/>
  <c r="P54" i="1"/>
  <c r="Q54" i="1"/>
  <c r="U54" i="1"/>
  <c r="T54" i="1"/>
  <c r="S54" i="1"/>
  <c r="AD54" i="1" s="1"/>
  <c r="R54" i="1"/>
  <c r="P55" i="1"/>
  <c r="U55" i="1"/>
  <c r="R55" i="1"/>
  <c r="S55" i="1"/>
  <c r="AD55" i="1" s="1"/>
  <c r="Q55" i="1"/>
  <c r="T55" i="1"/>
  <c r="P56" i="1"/>
  <c r="Q56" i="1"/>
  <c r="T56" i="1"/>
  <c r="S56" i="1"/>
  <c r="AD56" i="1" s="1"/>
  <c r="R56" i="1"/>
  <c r="U56" i="1"/>
  <c r="P57" i="1"/>
  <c r="Q57" i="1"/>
  <c r="U57" i="1"/>
  <c r="R57" i="1"/>
  <c r="S57" i="1"/>
  <c r="AD57" i="1" s="1"/>
  <c r="T57" i="1"/>
  <c r="P58" i="1"/>
  <c r="Q58" i="1"/>
  <c r="R58" i="1"/>
  <c r="S58" i="1"/>
  <c r="AD58" i="1" s="1"/>
  <c r="U58" i="1"/>
  <c r="T58" i="1"/>
  <c r="P59" i="1"/>
  <c r="Q59" i="1"/>
  <c r="T59" i="1"/>
  <c r="R59" i="1"/>
  <c r="U59" i="1"/>
  <c r="S59" i="1"/>
  <c r="AD59" i="1" s="1"/>
  <c r="P60" i="1"/>
  <c r="Q60" i="1"/>
  <c r="U60" i="1"/>
  <c r="R60" i="1"/>
  <c r="T60" i="1"/>
  <c r="S60" i="1"/>
  <c r="AD60" i="1" s="1"/>
  <c r="P61" i="1"/>
  <c r="Q61" i="1"/>
  <c r="U61" i="1"/>
  <c r="R61" i="1"/>
  <c r="S61" i="1"/>
  <c r="AD61" i="1" s="1"/>
  <c r="T61" i="1"/>
  <c r="P62" i="1"/>
  <c r="T62" i="1"/>
  <c r="U62" i="1"/>
  <c r="R62" i="1"/>
  <c r="S62" i="1"/>
  <c r="AD62" i="1" s="1"/>
  <c r="Q62" i="1"/>
  <c r="P63" i="1"/>
  <c r="R63" i="1"/>
  <c r="Q63" i="1"/>
  <c r="U63" i="1"/>
  <c r="T63" i="1"/>
  <c r="S63" i="1"/>
  <c r="AD63" i="1" s="1"/>
  <c r="P64" i="1"/>
  <c r="S64" i="1"/>
  <c r="AD64" i="1" s="1"/>
  <c r="Q64" i="1"/>
  <c r="T64" i="1"/>
  <c r="R64" i="1"/>
  <c r="U64" i="1"/>
  <c r="P65" i="1"/>
  <c r="U65" i="1"/>
  <c r="Q65" i="1"/>
  <c r="S65" i="1"/>
  <c r="AD65" i="1" s="1"/>
  <c r="T65" i="1"/>
  <c r="R65" i="1"/>
  <c r="P66" i="1"/>
  <c r="Q66" i="1"/>
  <c r="S66" i="1"/>
  <c r="AD66" i="1" s="1"/>
  <c r="R66" i="1"/>
  <c r="U66" i="1"/>
  <c r="T66" i="1"/>
  <c r="P67" i="1"/>
  <c r="U67" i="1"/>
  <c r="Q67" i="1"/>
  <c r="T67" i="1"/>
  <c r="S67" i="1"/>
  <c r="AD67" i="1" s="1"/>
  <c r="R67" i="1"/>
  <c r="P68" i="1"/>
  <c r="R68" i="1"/>
  <c r="S68" i="1"/>
  <c r="AD68" i="1" s="1"/>
  <c r="T68" i="1"/>
  <c r="Q68" i="1"/>
  <c r="U68" i="1"/>
  <c r="P69" i="1"/>
  <c r="T69" i="1"/>
  <c r="S69" i="1"/>
  <c r="AD69" i="1" s="1"/>
  <c r="U69" i="1"/>
  <c r="R69" i="1"/>
  <c r="Q69" i="1"/>
  <c r="P70" i="1"/>
  <c r="Q70" i="1"/>
  <c r="U70" i="1"/>
  <c r="R70" i="1"/>
  <c r="S70" i="1"/>
  <c r="AD70" i="1" s="1"/>
  <c r="T70" i="1"/>
  <c r="P71" i="1"/>
  <c r="U71" i="1"/>
  <c r="R71" i="1"/>
  <c r="T71" i="1"/>
  <c r="S71" i="1"/>
  <c r="AD71" i="1" s="1"/>
  <c r="Q71" i="1"/>
  <c r="P72" i="1"/>
  <c r="S72" i="1"/>
  <c r="AD72" i="1" s="1"/>
  <c r="R72" i="1"/>
  <c r="Q72" i="1"/>
  <c r="T72" i="1"/>
  <c r="U72" i="1"/>
  <c r="P73" i="1"/>
  <c r="U73" i="1"/>
  <c r="T73" i="1"/>
  <c r="R73" i="1"/>
  <c r="S73" i="1"/>
  <c r="AD73" i="1" s="1"/>
  <c r="Q73" i="1"/>
  <c r="P74" i="1"/>
  <c r="T74" i="1"/>
  <c r="Q74" i="1"/>
  <c r="S74" i="1"/>
  <c r="AD74" i="1" s="1"/>
  <c r="U74" i="1"/>
  <c r="R74" i="1"/>
  <c r="P75" i="1"/>
  <c r="R75" i="1"/>
  <c r="T75" i="1"/>
  <c r="Q75" i="1"/>
  <c r="U75" i="1"/>
  <c r="S75" i="1"/>
  <c r="AD75" i="1" s="1"/>
  <c r="P76" i="1"/>
  <c r="T76" i="1"/>
  <c r="U76" i="1"/>
  <c r="Q76" i="1"/>
  <c r="S76" i="1"/>
  <c r="AD76" i="1" s="1"/>
  <c r="R76" i="1"/>
  <c r="P77" i="1"/>
  <c r="T77" i="1"/>
  <c r="Q77" i="1"/>
  <c r="U77" i="1"/>
  <c r="S77" i="1"/>
  <c r="AD77" i="1" s="1"/>
  <c r="R77" i="1"/>
  <c r="P78" i="1"/>
  <c r="Q78" i="1"/>
  <c r="R78" i="1"/>
  <c r="U78" i="1"/>
  <c r="T78" i="1"/>
  <c r="S78" i="1"/>
  <c r="AD78" i="1" s="1"/>
  <c r="P79" i="1"/>
  <c r="S79" i="1"/>
  <c r="AD79" i="1" s="1"/>
  <c r="Q79" i="1"/>
  <c r="R79" i="1"/>
  <c r="T79" i="1"/>
  <c r="U79" i="1"/>
  <c r="P80" i="1"/>
  <c r="R80" i="1"/>
  <c r="S80" i="1"/>
  <c r="AD80" i="1" s="1"/>
  <c r="T80" i="1"/>
  <c r="U80" i="1"/>
  <c r="Q80" i="1"/>
  <c r="P81" i="1"/>
  <c r="U81" i="1"/>
  <c r="S81" i="1"/>
  <c r="AD81" i="1" s="1"/>
  <c r="Q81" i="1"/>
  <c r="R81" i="1"/>
  <c r="T81" i="1"/>
  <c r="P82" i="1"/>
  <c r="Q82" i="1"/>
  <c r="S82" i="1"/>
  <c r="AD82" i="1" s="1"/>
  <c r="U82" i="1"/>
  <c r="R82" i="1"/>
  <c r="T82" i="1"/>
  <c r="P83" i="1"/>
  <c r="U83" i="1"/>
  <c r="S83" i="1"/>
  <c r="AD83" i="1" s="1"/>
  <c r="R83" i="1"/>
  <c r="Q83" i="1"/>
  <c r="T83" i="1"/>
  <c r="P84" i="1"/>
  <c r="R84" i="1"/>
  <c r="T84" i="1"/>
  <c r="U84" i="1"/>
  <c r="Q84" i="1"/>
  <c r="S84" i="1"/>
  <c r="AD84" i="1" s="1"/>
  <c r="P85" i="1"/>
  <c r="R85" i="1"/>
  <c r="U85" i="1"/>
  <c r="S85" i="1"/>
  <c r="AD85" i="1" s="1"/>
  <c r="T85" i="1"/>
  <c r="Q85" i="1"/>
  <c r="P86" i="1"/>
  <c r="U86" i="1"/>
  <c r="R86" i="1"/>
  <c r="Q86" i="1"/>
  <c r="S86" i="1"/>
  <c r="AD86" i="1" s="1"/>
  <c r="T86" i="1"/>
  <c r="P87" i="1"/>
  <c r="R87" i="1"/>
  <c r="U87" i="1"/>
  <c r="T87" i="1"/>
  <c r="S87" i="1"/>
  <c r="AD87" i="1" s="1"/>
  <c r="Q87" i="1"/>
  <c r="P88" i="1"/>
  <c r="R88" i="1"/>
  <c r="T88" i="1"/>
  <c r="Q88" i="1"/>
  <c r="S88" i="1"/>
  <c r="AD88" i="1" s="1"/>
  <c r="U88" i="1"/>
  <c r="P89" i="1"/>
  <c r="S89" i="1"/>
  <c r="AD89" i="1" s="1"/>
  <c r="R89" i="1"/>
  <c r="Q89" i="1"/>
  <c r="U89" i="1"/>
  <c r="T89" i="1"/>
  <c r="P90" i="1"/>
  <c r="T90" i="1"/>
  <c r="Q90" i="1"/>
  <c r="S90" i="1"/>
  <c r="AD90" i="1" s="1"/>
  <c r="R90" i="1"/>
  <c r="U90" i="1"/>
  <c r="P91" i="1"/>
  <c r="U91" i="1"/>
  <c r="S91" i="1"/>
  <c r="AD91" i="1" s="1"/>
  <c r="T91" i="1"/>
  <c r="Q91" i="1"/>
  <c r="R91" i="1"/>
  <c r="P92" i="1"/>
  <c r="S92" i="1"/>
  <c r="AD92" i="1" s="1"/>
  <c r="Q92" i="1"/>
  <c r="R92" i="1"/>
  <c r="U92" i="1"/>
  <c r="T92" i="1"/>
  <c r="P93" i="1"/>
  <c r="Q93" i="1"/>
  <c r="S93" i="1"/>
  <c r="AD93" i="1" s="1"/>
  <c r="T93" i="1"/>
  <c r="R93" i="1"/>
  <c r="U93" i="1"/>
  <c r="P94" i="1"/>
  <c r="U94" i="1"/>
  <c r="S94" i="1"/>
  <c r="AD94" i="1" s="1"/>
  <c r="Q94" i="1"/>
  <c r="T94" i="1"/>
  <c r="R94" i="1"/>
  <c r="P95" i="1"/>
  <c r="Q95" i="1"/>
  <c r="S95" i="1"/>
  <c r="AD95" i="1" s="1"/>
  <c r="T95" i="1"/>
  <c r="R95" i="1"/>
  <c r="U95" i="1"/>
  <c r="P96" i="1"/>
  <c r="T96" i="1"/>
  <c r="Q96" i="1"/>
  <c r="U96" i="1"/>
  <c r="R96" i="1"/>
  <c r="S96" i="1"/>
  <c r="AD96" i="1" s="1"/>
  <c r="P97" i="1"/>
  <c r="U97" i="1"/>
  <c r="Q97" i="1"/>
  <c r="R97" i="1"/>
  <c r="T97" i="1"/>
  <c r="S97" i="1"/>
  <c r="AD97" i="1" s="1"/>
  <c r="P98" i="1"/>
  <c r="U98" i="1"/>
  <c r="S98" i="1"/>
  <c r="AD98" i="1" s="1"/>
  <c r="R98" i="1"/>
  <c r="Q98" i="1"/>
  <c r="T98" i="1"/>
  <c r="P99" i="1"/>
  <c r="Q99" i="1"/>
  <c r="S99" i="1"/>
  <c r="AD99" i="1" s="1"/>
  <c r="R99" i="1"/>
  <c r="T99" i="1"/>
  <c r="U99" i="1"/>
  <c r="P100" i="1"/>
  <c r="Q100" i="1"/>
  <c r="U100" i="1"/>
  <c r="T100" i="1"/>
  <c r="S100" i="1"/>
  <c r="AD100" i="1" s="1"/>
  <c r="R100" i="1"/>
  <c r="P101" i="1"/>
  <c r="T101" i="1"/>
  <c r="R101" i="1"/>
  <c r="U101" i="1"/>
  <c r="Q101" i="1"/>
  <c r="S101" i="1"/>
  <c r="AD101" i="1" s="1"/>
  <c r="P102" i="1"/>
  <c r="U102" i="1"/>
  <c r="S102" i="1"/>
  <c r="AD102" i="1" s="1"/>
  <c r="T102" i="1"/>
  <c r="R102" i="1"/>
  <c r="Q102" i="1"/>
  <c r="P103" i="1"/>
  <c r="T103" i="1"/>
  <c r="R103" i="1"/>
  <c r="S103" i="1"/>
  <c r="AD103" i="1" s="1"/>
  <c r="Q103" i="1"/>
  <c r="U103" i="1"/>
  <c r="P104" i="1"/>
  <c r="U104" i="1"/>
  <c r="T104" i="1"/>
  <c r="S104" i="1"/>
  <c r="AD104" i="1" s="1"/>
  <c r="R104" i="1"/>
  <c r="Q104" i="1"/>
  <c r="P105" i="1"/>
  <c r="U105" i="1"/>
  <c r="S105" i="1"/>
  <c r="AD105" i="1" s="1"/>
  <c r="Q105" i="1"/>
  <c r="R105" i="1"/>
  <c r="T105" i="1"/>
  <c r="P106" i="1"/>
  <c r="S106" i="1"/>
  <c r="AD106" i="1" s="1"/>
  <c r="R106" i="1"/>
  <c r="Q106" i="1"/>
  <c r="T106" i="1"/>
  <c r="U106" i="1"/>
  <c r="P107" i="1"/>
  <c r="T107" i="1"/>
  <c r="S107" i="1"/>
  <c r="AD107" i="1" s="1"/>
  <c r="R107" i="1"/>
  <c r="U107" i="1"/>
  <c r="Q107" i="1"/>
  <c r="P108" i="1"/>
  <c r="T108" i="1"/>
  <c r="R108" i="1"/>
  <c r="S108" i="1"/>
  <c r="AD108" i="1" s="1"/>
  <c r="U108" i="1"/>
  <c r="Q108" i="1"/>
  <c r="P109" i="1"/>
  <c r="T109" i="1"/>
  <c r="R109" i="1"/>
  <c r="S109" i="1"/>
  <c r="AD109" i="1" s="1"/>
  <c r="U109" i="1"/>
  <c r="Q109" i="1"/>
  <c r="P110" i="1"/>
  <c r="S110" i="1"/>
  <c r="AD110" i="1" s="1"/>
  <c r="Q110" i="1"/>
  <c r="R110" i="1"/>
  <c r="U110" i="1"/>
  <c r="T110" i="1"/>
  <c r="P111" i="1"/>
  <c r="S111" i="1"/>
  <c r="AD111" i="1" s="1"/>
  <c r="Q111" i="1"/>
  <c r="T111" i="1"/>
  <c r="U111" i="1"/>
  <c r="R111" i="1"/>
  <c r="P112" i="1"/>
  <c r="U112" i="1"/>
  <c r="T112" i="1"/>
  <c r="R112" i="1"/>
  <c r="Q112" i="1"/>
  <c r="S112" i="1"/>
  <c r="AD112" i="1" s="1"/>
  <c r="P113" i="1"/>
  <c r="Q113" i="1"/>
  <c r="S113" i="1"/>
  <c r="AD113" i="1" s="1"/>
  <c r="R113" i="1"/>
  <c r="T113" i="1"/>
  <c r="U113" i="1"/>
  <c r="P114" i="1"/>
  <c r="S114" i="1"/>
  <c r="AD114" i="1" s="1"/>
  <c r="U114" i="1"/>
  <c r="Q114" i="1"/>
  <c r="R114" i="1"/>
  <c r="T114" i="1"/>
  <c r="P115" i="1"/>
  <c r="U115" i="1"/>
  <c r="R115" i="1"/>
  <c r="Q115" i="1"/>
  <c r="T115" i="1"/>
  <c r="S115" i="1"/>
  <c r="AD115" i="1" s="1"/>
  <c r="P117" i="1"/>
  <c r="U117" i="1"/>
  <c r="P118" i="1"/>
  <c r="U118" i="1"/>
  <c r="P119" i="1"/>
  <c r="U119" i="1"/>
  <c r="P120" i="1"/>
  <c r="U120" i="1"/>
  <c r="P121" i="1"/>
  <c r="U121" i="1"/>
  <c r="P122" i="1"/>
  <c r="U122" i="1"/>
  <c r="P123" i="1"/>
  <c r="U123" i="1"/>
  <c r="P124" i="1"/>
  <c r="U124" i="1"/>
  <c r="P125" i="1"/>
  <c r="U125" i="1"/>
  <c r="P126" i="1"/>
  <c r="U126" i="1"/>
  <c r="P127" i="1"/>
  <c r="T127" i="1"/>
  <c r="U127" i="1"/>
  <c r="P128" i="1"/>
  <c r="T128" i="1"/>
  <c r="U128" i="1"/>
  <c r="P129" i="1"/>
  <c r="U129" i="1"/>
  <c r="T129" i="1"/>
  <c r="P130" i="1"/>
  <c r="T130" i="1"/>
  <c r="U130" i="1"/>
  <c r="P131" i="1"/>
  <c r="T131" i="1"/>
  <c r="U131" i="1"/>
  <c r="P132" i="1"/>
  <c r="T132" i="1"/>
  <c r="U132" i="1"/>
  <c r="P133" i="1"/>
  <c r="T133" i="1"/>
  <c r="U133" i="1"/>
  <c r="P134" i="1"/>
  <c r="T134" i="1"/>
  <c r="U134" i="1"/>
  <c r="P135" i="1"/>
  <c r="U135" i="1"/>
  <c r="T135" i="1"/>
  <c r="P136" i="1"/>
  <c r="T136" i="1"/>
  <c r="U136" i="1"/>
  <c r="P137" i="1"/>
  <c r="U137" i="1"/>
  <c r="T137" i="1"/>
  <c r="P138" i="1"/>
  <c r="T138" i="1"/>
  <c r="U138" i="1"/>
  <c r="P139" i="1"/>
  <c r="T139" i="1"/>
  <c r="U139" i="1"/>
  <c r="P140" i="1"/>
  <c r="T140" i="1"/>
  <c r="U140" i="1"/>
  <c r="P141" i="1"/>
  <c r="T141" i="1"/>
  <c r="U141" i="1"/>
  <c r="P142" i="1"/>
  <c r="T142" i="1"/>
  <c r="U142" i="1"/>
  <c r="P143" i="1"/>
  <c r="S143" i="1"/>
  <c r="AD143" i="1" s="1"/>
  <c r="U143" i="1"/>
  <c r="T143" i="1"/>
  <c r="P144" i="1"/>
  <c r="T144" i="1"/>
  <c r="U144" i="1"/>
  <c r="S144" i="1"/>
  <c r="AD144" i="1" s="1"/>
  <c r="P145" i="1"/>
  <c r="S145" i="1"/>
  <c r="AD145" i="1" s="1"/>
  <c r="U145" i="1"/>
  <c r="T145" i="1"/>
  <c r="P146" i="1"/>
  <c r="T146" i="1"/>
  <c r="S146" i="1"/>
  <c r="AD146" i="1" s="1"/>
  <c r="U146" i="1"/>
  <c r="P147" i="1"/>
  <c r="U147" i="1"/>
  <c r="S147" i="1"/>
  <c r="AD147" i="1" s="1"/>
  <c r="T147" i="1"/>
  <c r="P148" i="1"/>
  <c r="U148" i="1"/>
  <c r="S148" i="1"/>
  <c r="AD148" i="1" s="1"/>
  <c r="T148" i="1"/>
  <c r="P149" i="1"/>
  <c r="T149" i="1"/>
  <c r="U149" i="1"/>
  <c r="S149" i="1"/>
  <c r="AD149" i="1" s="1"/>
  <c r="P150" i="1"/>
  <c r="S150" i="1"/>
  <c r="AD150" i="1" s="1"/>
  <c r="U150" i="1"/>
  <c r="T150" i="1"/>
  <c r="P151" i="1"/>
  <c r="S151" i="1"/>
  <c r="AD151" i="1" s="1"/>
  <c r="U151" i="1"/>
  <c r="T151" i="1"/>
  <c r="P152" i="1"/>
  <c r="S152" i="1"/>
  <c r="AD152" i="1" s="1"/>
  <c r="U152" i="1"/>
  <c r="T152" i="1"/>
  <c r="P153" i="1"/>
  <c r="U153" i="1"/>
  <c r="S153" i="1"/>
  <c r="AD153" i="1" s="1"/>
  <c r="T153" i="1"/>
  <c r="P154" i="1"/>
  <c r="S154" i="1"/>
  <c r="AD154" i="1" s="1"/>
  <c r="U154" i="1"/>
  <c r="T154" i="1"/>
  <c r="P155" i="1"/>
  <c r="U155" i="1"/>
  <c r="T155" i="1"/>
  <c r="S155" i="1"/>
  <c r="AD155" i="1" s="1"/>
  <c r="P156" i="1"/>
  <c r="S156" i="1"/>
  <c r="AD156" i="1" s="1"/>
  <c r="T156" i="1"/>
  <c r="U156" i="1"/>
  <c r="P157" i="1"/>
  <c r="S157" i="1"/>
  <c r="AD157" i="1" s="1"/>
  <c r="T157" i="1"/>
  <c r="U157" i="1"/>
  <c r="P158" i="1"/>
  <c r="S158" i="1"/>
  <c r="AD158" i="1" s="1"/>
  <c r="U158" i="1"/>
  <c r="T158" i="1"/>
  <c r="P159" i="1"/>
  <c r="T159" i="1"/>
  <c r="S159" i="1"/>
  <c r="AD159" i="1" s="1"/>
  <c r="U159" i="1"/>
  <c r="P160" i="1"/>
  <c r="T160" i="1"/>
  <c r="U160" i="1"/>
  <c r="S160" i="1"/>
  <c r="AD160" i="1" s="1"/>
  <c r="P161" i="1"/>
  <c r="T161" i="1"/>
  <c r="U161" i="1"/>
  <c r="S161" i="1"/>
  <c r="AD161" i="1" s="1"/>
  <c r="P162" i="1"/>
  <c r="U162" i="1"/>
  <c r="S162" i="1"/>
  <c r="AD162" i="1" s="1"/>
  <c r="T162" i="1"/>
  <c r="P163" i="1"/>
  <c r="U163" i="1"/>
  <c r="T163" i="1"/>
  <c r="S163" i="1"/>
  <c r="AD163" i="1" s="1"/>
  <c r="P164" i="1"/>
  <c r="S164" i="1"/>
  <c r="AD164" i="1" s="1"/>
  <c r="U164" i="1"/>
  <c r="T164" i="1"/>
  <c r="P165" i="1"/>
  <c r="S165" i="1"/>
  <c r="AD165" i="1" s="1"/>
  <c r="U165" i="1"/>
  <c r="T165" i="1"/>
  <c r="P166" i="1"/>
  <c r="T166" i="1"/>
  <c r="S166" i="1"/>
  <c r="AD166" i="1" s="1"/>
  <c r="U166" i="1"/>
  <c r="P167" i="1"/>
  <c r="U167" i="1"/>
  <c r="S167" i="1"/>
  <c r="AD167" i="1" s="1"/>
  <c r="T167" i="1"/>
  <c r="P168" i="1"/>
  <c r="T168" i="1"/>
  <c r="U168" i="1"/>
  <c r="R168" i="1"/>
  <c r="S168" i="1"/>
  <c r="AD168" i="1" s="1"/>
  <c r="P169" i="1"/>
  <c r="T169" i="1"/>
  <c r="S169" i="1"/>
  <c r="AD169" i="1" s="1"/>
  <c r="R169" i="1"/>
  <c r="U169" i="1"/>
  <c r="P170" i="1"/>
  <c r="U170" i="1"/>
  <c r="T170" i="1"/>
  <c r="S170" i="1"/>
  <c r="AD170" i="1" s="1"/>
  <c r="R170" i="1"/>
  <c r="P171" i="1"/>
  <c r="T171" i="1"/>
  <c r="R171" i="1"/>
  <c r="U171" i="1"/>
  <c r="S171" i="1"/>
  <c r="AD171" i="1" s="1"/>
  <c r="P172" i="1"/>
  <c r="R172" i="1"/>
  <c r="T172" i="1"/>
  <c r="S172" i="1"/>
  <c r="AD172" i="1" s="1"/>
  <c r="U172" i="1"/>
  <c r="P173" i="1"/>
  <c r="U173" i="1"/>
  <c r="T173" i="1"/>
  <c r="S173" i="1"/>
  <c r="AD173" i="1" s="1"/>
  <c r="R173" i="1"/>
  <c r="P174" i="1"/>
  <c r="T174" i="1"/>
  <c r="S174" i="1"/>
  <c r="AD174" i="1" s="1"/>
  <c r="R174" i="1"/>
  <c r="U174" i="1"/>
  <c r="P175" i="1"/>
  <c r="R175" i="1"/>
  <c r="S175" i="1"/>
  <c r="AD175" i="1" s="1"/>
  <c r="T175" i="1"/>
  <c r="Q175" i="1"/>
  <c r="U175" i="1"/>
  <c r="P176" i="1"/>
  <c r="S176" i="1"/>
  <c r="AD176" i="1" s="1"/>
  <c r="Q176" i="1"/>
  <c r="U176" i="1"/>
  <c r="T176" i="1"/>
  <c r="R176" i="1"/>
  <c r="P177" i="1"/>
  <c r="R177" i="1"/>
  <c r="T177" i="1"/>
  <c r="Q177" i="1"/>
  <c r="U177" i="1"/>
  <c r="S177" i="1"/>
  <c r="AD177" i="1" s="1"/>
  <c r="P178" i="1"/>
  <c r="S178" i="1"/>
  <c r="AD178" i="1" s="1"/>
  <c r="R178" i="1"/>
  <c r="U178" i="1"/>
  <c r="T178" i="1"/>
  <c r="Q178" i="1"/>
  <c r="P179" i="1"/>
  <c r="R179" i="1"/>
  <c r="S179" i="1"/>
  <c r="AD179" i="1" s="1"/>
  <c r="T179" i="1"/>
  <c r="Q179" i="1"/>
  <c r="U179" i="1"/>
  <c r="P180" i="1"/>
  <c r="Q180" i="1"/>
  <c r="T180" i="1"/>
  <c r="S180" i="1"/>
  <c r="AD180" i="1" s="1"/>
  <c r="U180" i="1"/>
  <c r="R180" i="1"/>
  <c r="P181" i="1"/>
  <c r="T181" i="1"/>
  <c r="R181" i="1"/>
  <c r="U181" i="1"/>
  <c r="Q181" i="1"/>
  <c r="S181" i="1"/>
  <c r="AD181" i="1" s="1"/>
  <c r="P182" i="1"/>
  <c r="Q182" i="1"/>
  <c r="S182" i="1"/>
  <c r="AD182" i="1" s="1"/>
  <c r="R182" i="1"/>
  <c r="U182" i="1"/>
  <c r="T182" i="1"/>
  <c r="P183" i="1"/>
  <c r="T183" i="1"/>
  <c r="S183" i="1"/>
  <c r="AD183" i="1" s="1"/>
  <c r="U183" i="1"/>
  <c r="Q183" i="1"/>
  <c r="R183" i="1"/>
  <c r="P184" i="1"/>
  <c r="S184" i="1"/>
  <c r="AD184" i="1" s="1"/>
  <c r="U184" i="1"/>
  <c r="R184" i="1"/>
  <c r="Q184" i="1"/>
  <c r="T184" i="1"/>
  <c r="P185" i="1"/>
  <c r="U185" i="1"/>
  <c r="T185" i="1"/>
  <c r="R185" i="1"/>
  <c r="S185" i="1"/>
  <c r="AD185" i="1" s="1"/>
  <c r="Q185" i="1"/>
  <c r="P186" i="1"/>
  <c r="Q186" i="1"/>
  <c r="T186" i="1"/>
  <c r="R186" i="1"/>
  <c r="S186" i="1"/>
  <c r="AD186" i="1" s="1"/>
  <c r="U186" i="1"/>
  <c r="P187" i="1"/>
  <c r="U187" i="1"/>
  <c r="Q187" i="1"/>
  <c r="S187" i="1"/>
  <c r="AD187" i="1" s="1"/>
  <c r="R187" i="1"/>
  <c r="T187" i="1"/>
  <c r="P188" i="1"/>
  <c r="T188" i="1"/>
  <c r="U188" i="1"/>
  <c r="R188" i="1"/>
  <c r="S188" i="1"/>
  <c r="AD188" i="1" s="1"/>
  <c r="Q188" i="1"/>
  <c r="P189" i="1"/>
  <c r="R189" i="1"/>
  <c r="S189" i="1"/>
  <c r="AD189" i="1" s="1"/>
  <c r="U189" i="1"/>
  <c r="Q189" i="1"/>
  <c r="T189" i="1"/>
  <c r="P190" i="1"/>
  <c r="S190" i="1"/>
  <c r="AD190" i="1" s="1"/>
  <c r="U190" i="1"/>
  <c r="R190" i="1"/>
  <c r="Q190" i="1"/>
  <c r="T190" i="1"/>
  <c r="P191" i="1"/>
  <c r="S191" i="1"/>
  <c r="AD191" i="1" s="1"/>
  <c r="U191" i="1"/>
  <c r="T191" i="1"/>
  <c r="R191" i="1"/>
  <c r="Q191" i="1"/>
  <c r="P192" i="1"/>
  <c r="Q192" i="1"/>
  <c r="R192" i="1"/>
  <c r="T192" i="1"/>
  <c r="S192" i="1"/>
  <c r="AD192" i="1" s="1"/>
  <c r="U192" i="1"/>
  <c r="P193" i="1"/>
  <c r="R193" i="1"/>
  <c r="T193" i="1"/>
  <c r="S193" i="1"/>
  <c r="AD193" i="1" s="1"/>
  <c r="U193" i="1"/>
  <c r="Q193" i="1"/>
  <c r="P194" i="1"/>
  <c r="R194" i="1"/>
  <c r="Q194" i="1"/>
  <c r="S194" i="1"/>
  <c r="AD194" i="1" s="1"/>
  <c r="T194" i="1"/>
  <c r="U194" i="1"/>
  <c r="P195" i="1"/>
  <c r="R195" i="1"/>
  <c r="U195" i="1"/>
  <c r="S195" i="1"/>
  <c r="AD195" i="1" s="1"/>
  <c r="T195" i="1"/>
  <c r="Q195" i="1"/>
  <c r="P196" i="1"/>
  <c r="U196" i="1"/>
  <c r="T196" i="1"/>
  <c r="S196" i="1"/>
  <c r="AD196" i="1" s="1"/>
  <c r="R196" i="1"/>
  <c r="Q196" i="1"/>
  <c r="P197" i="1"/>
  <c r="Q197" i="1"/>
  <c r="T197" i="1"/>
  <c r="S197" i="1"/>
  <c r="AD197" i="1" s="1"/>
  <c r="U197" i="1"/>
  <c r="R197" i="1"/>
</calcChain>
</file>

<file path=xl/sharedStrings.xml><?xml version="1.0" encoding="utf-8"?>
<sst xmlns="http://schemas.openxmlformats.org/spreadsheetml/2006/main" count="2104" uniqueCount="514">
  <si>
    <t>Transaction_ID</t>
  </si>
  <si>
    <t>Sale_Date</t>
  </si>
  <si>
    <t>Customer_ID</t>
  </si>
  <si>
    <t>Product_ID</t>
  </si>
  <si>
    <t>Qty</t>
  </si>
  <si>
    <t>Unit_Price</t>
  </si>
  <si>
    <t>Payment_Mode</t>
  </si>
  <si>
    <t>Branch</t>
  </si>
  <si>
    <t>Cashier</t>
  </si>
  <si>
    <t>Entered_Category</t>
  </si>
  <si>
    <t>T0001</t>
  </si>
  <si>
    <t>01-Sep-2026</t>
  </si>
  <si>
    <t>C041</t>
  </si>
  <si>
    <t>P1008</t>
  </si>
  <si>
    <t>Cash</t>
  </si>
  <si>
    <t>Fairlands</t>
  </si>
  <si>
    <t>Charan</t>
  </si>
  <si>
    <t>Dairy</t>
  </si>
  <si>
    <t>T0002</t>
  </si>
  <si>
    <t>22-Aug-2026</t>
  </si>
  <si>
    <t>C021</t>
  </si>
  <si>
    <t>P1029</t>
  </si>
  <si>
    <t>UPI</t>
  </si>
  <si>
    <t>Hasthampatti</t>
  </si>
  <si>
    <t>Bala</t>
  </si>
  <si>
    <t>Household</t>
  </si>
  <si>
    <t>T0003</t>
  </si>
  <si>
    <t>14-Aug-2026</t>
  </si>
  <si>
    <t>C005</t>
  </si>
  <si>
    <t>P1014</t>
  </si>
  <si>
    <t>Snacks</t>
  </si>
  <si>
    <t>T0004</t>
  </si>
  <si>
    <t>27-Aug-2026</t>
  </si>
  <si>
    <t>C025</t>
  </si>
  <si>
    <t>Card</t>
  </si>
  <si>
    <t>Divya</t>
  </si>
  <si>
    <t>T0005</t>
  </si>
  <si>
    <t>01-Aug-2026</t>
  </si>
  <si>
    <t>C023</t>
  </si>
  <si>
    <t>P1010</t>
  </si>
  <si>
    <t>Suramangalam</t>
  </si>
  <si>
    <t>Ezhil</t>
  </si>
  <si>
    <t>T0006</t>
  </si>
  <si>
    <t>15-Aug-2026</t>
  </si>
  <si>
    <t>C032</t>
  </si>
  <si>
    <t>T0007</t>
  </si>
  <si>
    <t>11/08/2026</t>
  </si>
  <si>
    <t>C054</t>
  </si>
  <si>
    <t>P1015</t>
  </si>
  <si>
    <t>T0008</t>
  </si>
  <si>
    <t>06-Sep-2026</t>
  </si>
  <si>
    <t>C043</t>
  </si>
  <si>
    <t>P1001</t>
  </si>
  <si>
    <t>Asha</t>
  </si>
  <si>
    <t>Staples</t>
  </si>
  <si>
    <t>T0009</t>
  </si>
  <si>
    <t>17-Aug-2026</t>
  </si>
  <si>
    <t>P1011</t>
  </si>
  <si>
    <t>T0010</t>
  </si>
  <si>
    <t>P1003</t>
  </si>
  <si>
    <t>T0011</t>
  </si>
  <si>
    <t>05-Aug-2026</t>
  </si>
  <si>
    <t>C050</t>
  </si>
  <si>
    <t>P1021</t>
  </si>
  <si>
    <t>upi</t>
  </si>
  <si>
    <t>Beverages</t>
  </si>
  <si>
    <t>T0012</t>
  </si>
  <si>
    <t>10-Aug-2026</t>
  </si>
  <si>
    <t>C016</t>
  </si>
  <si>
    <t>P1005</t>
  </si>
  <si>
    <t>T0013</t>
  </si>
  <si>
    <t>24-Aug-2026</t>
  </si>
  <si>
    <t>C011</t>
  </si>
  <si>
    <t>P1020</t>
  </si>
  <si>
    <t>T0014</t>
  </si>
  <si>
    <t>07-Aug-2026</t>
  </si>
  <si>
    <t>C038</t>
  </si>
  <si>
    <t>T0015</t>
  </si>
  <si>
    <t>P1023</t>
  </si>
  <si>
    <t>cash</t>
  </si>
  <si>
    <t>Personal Care</t>
  </si>
  <si>
    <t>T0016</t>
  </si>
  <si>
    <t>08-Aug-2026</t>
  </si>
  <si>
    <t>C051</t>
  </si>
  <si>
    <t>P1019</t>
  </si>
  <si>
    <t>T0017</t>
  </si>
  <si>
    <t>02-Sep-2026</t>
  </si>
  <si>
    <t>C042</t>
  </si>
  <si>
    <t>T0018</t>
  </si>
  <si>
    <t>2026-08-30</t>
  </si>
  <si>
    <t>C046</t>
  </si>
  <si>
    <t>T0019</t>
  </si>
  <si>
    <t>04-Sep-2026</t>
  </si>
  <si>
    <t>P1016</t>
  </si>
  <si>
    <t>T0020</t>
  </si>
  <si>
    <t>16-Aug-2026</t>
  </si>
  <si>
    <t>P1030</t>
  </si>
  <si>
    <t>T0021</t>
  </si>
  <si>
    <t>25-Aug-2026</t>
  </si>
  <si>
    <t>C022</t>
  </si>
  <si>
    <t>T0022</t>
  </si>
  <si>
    <t>P1009</t>
  </si>
  <si>
    <t>CARD</t>
  </si>
  <si>
    <t>T0023</t>
  </si>
  <si>
    <t>13-Aug-2026</t>
  </si>
  <si>
    <t>C006</t>
  </si>
  <si>
    <t>T0024</t>
  </si>
  <si>
    <t>C029</t>
  </si>
  <si>
    <t>P1026</t>
  </si>
  <si>
    <t>T0025</t>
  </si>
  <si>
    <t>C031</t>
  </si>
  <si>
    <t>P1018</t>
  </si>
  <si>
    <t>T0026</t>
  </si>
  <si>
    <t>30/08/2026</t>
  </si>
  <si>
    <t>C018</t>
  </si>
  <si>
    <t>T0027</t>
  </si>
  <si>
    <t>C049</t>
  </si>
  <si>
    <t>T0028</t>
  </si>
  <si>
    <t>03-Sep-2026</t>
  </si>
  <si>
    <t>T0029</t>
  </si>
  <si>
    <t>20-Aug-2026</t>
  </si>
  <si>
    <t>C001</t>
  </si>
  <si>
    <t>T0030</t>
  </si>
  <si>
    <t>09-Aug-2026</t>
  </si>
  <si>
    <t>P1028</t>
  </si>
  <si>
    <t>T0031</t>
  </si>
  <si>
    <t>31-Aug-2026</t>
  </si>
  <si>
    <t>fairlands</t>
  </si>
  <si>
    <t>T0032</t>
  </si>
  <si>
    <t>26-Aug-2026</t>
  </si>
  <si>
    <t>T0033</t>
  </si>
  <si>
    <t>T0034</t>
  </si>
  <si>
    <t>P1017</t>
  </si>
  <si>
    <t>T0035</t>
  </si>
  <si>
    <t>C037</t>
  </si>
  <si>
    <t>p1020</t>
  </si>
  <si>
    <t>T0036</t>
  </si>
  <si>
    <t>T0037</t>
  </si>
  <si>
    <t>T0038</t>
  </si>
  <si>
    <t>30-Aug-2026</t>
  </si>
  <si>
    <t>P1022</t>
  </si>
  <si>
    <t>T0039</t>
  </si>
  <si>
    <t>28-Aug-2026</t>
  </si>
  <si>
    <t>C008</t>
  </si>
  <si>
    <t>T0040</t>
  </si>
  <si>
    <t>11-Aug-2026</t>
  </si>
  <si>
    <t>T0041</t>
  </si>
  <si>
    <t>C045</t>
  </si>
  <si>
    <t>T0042</t>
  </si>
  <si>
    <t>29-Aug-2026</t>
  </si>
  <si>
    <t>T0043</t>
  </si>
  <si>
    <t>02-Aug-2026</t>
  </si>
  <si>
    <t>T0044</t>
  </si>
  <si>
    <t>C003</t>
  </si>
  <si>
    <t>P1025</t>
  </si>
  <si>
    <t>T0045</t>
  </si>
  <si>
    <t>P1027</t>
  </si>
  <si>
    <t>T0046</t>
  </si>
  <si>
    <t>21-Aug-2026</t>
  </si>
  <si>
    <t>P1004</t>
  </si>
  <si>
    <t>T0047</t>
  </si>
  <si>
    <t>05-Sep-2026</t>
  </si>
  <si>
    <t>T0048</t>
  </si>
  <si>
    <t>T0049</t>
  </si>
  <si>
    <t>T0050</t>
  </si>
  <si>
    <t>T0051</t>
  </si>
  <si>
    <t>T0052</t>
  </si>
  <si>
    <t>C060</t>
  </si>
  <si>
    <t>T0053</t>
  </si>
  <si>
    <t>C030</t>
  </si>
  <si>
    <t>T0054</t>
  </si>
  <si>
    <t>SURAMANGALAM</t>
  </si>
  <si>
    <t>T0055</t>
  </si>
  <si>
    <t>T0056</t>
  </si>
  <si>
    <t>T0057</t>
  </si>
  <si>
    <t>2026-08-16</t>
  </si>
  <si>
    <t>P1013</t>
  </si>
  <si>
    <t>T0058</t>
  </si>
  <si>
    <t>T0059</t>
  </si>
  <si>
    <t>C056</t>
  </si>
  <si>
    <t>T0060</t>
  </si>
  <si>
    <t>T0061</t>
  </si>
  <si>
    <t>06-Aug-2026</t>
  </si>
  <si>
    <t>C055</t>
  </si>
  <si>
    <t>T0062</t>
  </si>
  <si>
    <t>T0063</t>
  </si>
  <si>
    <t>C007</t>
  </si>
  <si>
    <t>T0064</t>
  </si>
  <si>
    <t>T0065</t>
  </si>
  <si>
    <t>C027</t>
  </si>
  <si>
    <t>T0066</t>
  </si>
  <si>
    <t>C040</t>
  </si>
  <si>
    <t>T0067</t>
  </si>
  <si>
    <t>T0068</t>
  </si>
  <si>
    <t>T0069</t>
  </si>
  <si>
    <t>T0070</t>
  </si>
  <si>
    <t>T0071</t>
  </si>
  <si>
    <t>18-Aug-2026</t>
  </si>
  <si>
    <t>T0072</t>
  </si>
  <si>
    <t>19-Aug-2026</t>
  </si>
  <si>
    <t>T0073</t>
  </si>
  <si>
    <t>17/08/2026</t>
  </si>
  <si>
    <t>C044</t>
  </si>
  <si>
    <t>T0074</t>
  </si>
  <si>
    <t>03-Aug-2026</t>
  </si>
  <si>
    <t>C020</t>
  </si>
  <si>
    <t>T0075</t>
  </si>
  <si>
    <t>P1024</t>
  </si>
  <si>
    <t>T0076</t>
  </si>
  <si>
    <t>C059</t>
  </si>
  <si>
    <t>T0077</t>
  </si>
  <si>
    <t>T0078</t>
  </si>
  <si>
    <t>T0079</t>
  </si>
  <si>
    <t>T0080</t>
  </si>
  <si>
    <t>T0081</t>
  </si>
  <si>
    <t>T0082</t>
  </si>
  <si>
    <t>T0083</t>
  </si>
  <si>
    <t>T0084</t>
  </si>
  <si>
    <t>T0085</t>
  </si>
  <si>
    <t>T0086</t>
  </si>
  <si>
    <t>23-Aug-2026</t>
  </si>
  <si>
    <t>C004</t>
  </si>
  <si>
    <t>T0087</t>
  </si>
  <si>
    <t>T0088</t>
  </si>
  <si>
    <t>C014</t>
  </si>
  <si>
    <t>T0089</t>
  </si>
  <si>
    <t>T0090</t>
  </si>
  <si>
    <t>C009</t>
  </si>
  <si>
    <t>p1001</t>
  </si>
  <si>
    <t>T0091</t>
  </si>
  <si>
    <t>12-Aug-2026</t>
  </si>
  <si>
    <t>C017</t>
  </si>
  <si>
    <t>P1002</t>
  </si>
  <si>
    <t>T0092</t>
  </si>
  <si>
    <t>T0093</t>
  </si>
  <si>
    <t>C047</t>
  </si>
  <si>
    <t>T0094</t>
  </si>
  <si>
    <t>T0095</t>
  </si>
  <si>
    <t>T0096</t>
  </si>
  <si>
    <t>T0097</t>
  </si>
  <si>
    <t>T0098</t>
  </si>
  <si>
    <t>T0099</t>
  </si>
  <si>
    <t>C028</t>
  </si>
  <si>
    <t>T0100</t>
  </si>
  <si>
    <t>T0101</t>
  </si>
  <si>
    <t>2026-09-05</t>
  </si>
  <si>
    <t>T0102</t>
  </si>
  <si>
    <t>T0103</t>
  </si>
  <si>
    <t>T0104</t>
  </si>
  <si>
    <t>C024</t>
  </si>
  <si>
    <t>T0105</t>
  </si>
  <si>
    <t>C002</t>
  </si>
  <si>
    <t>T0106</t>
  </si>
  <si>
    <t>T0107</t>
  </si>
  <si>
    <t>C010</t>
  </si>
  <si>
    <t>T0108</t>
  </si>
  <si>
    <t>T0109</t>
  </si>
  <si>
    <t>C057</t>
  </si>
  <si>
    <t>T0110</t>
  </si>
  <si>
    <t>T0111</t>
  </si>
  <si>
    <t>P1012</t>
  </si>
  <si>
    <t>T0112</t>
  </si>
  <si>
    <t>T0113</t>
  </si>
  <si>
    <t>T0114</t>
  </si>
  <si>
    <t>C048</t>
  </si>
  <si>
    <t>T0115</t>
  </si>
  <si>
    <t>T0116</t>
  </si>
  <si>
    <t>T0117</t>
  </si>
  <si>
    <t>T0118</t>
  </si>
  <si>
    <t>T0119</t>
  </si>
  <si>
    <t>26/08/2026</t>
  </si>
  <si>
    <t>T0120</t>
  </si>
  <si>
    <t>C034</t>
  </si>
  <si>
    <t>T0121</t>
  </si>
  <si>
    <t>T0122</t>
  </si>
  <si>
    <t>T0123</t>
  </si>
  <si>
    <t>T0124</t>
  </si>
  <si>
    <t>T0125</t>
  </si>
  <si>
    <t>04-Aug-2026</t>
  </si>
  <si>
    <t>T0126</t>
  </si>
  <si>
    <t>T0127</t>
  </si>
  <si>
    <t>T0128</t>
  </si>
  <si>
    <t>C033</t>
  </si>
  <si>
    <t>T0129</t>
  </si>
  <si>
    <t>P1006</t>
  </si>
  <si>
    <t>T0130</t>
  </si>
  <si>
    <t>T0131</t>
  </si>
  <si>
    <t>T0132</t>
  </si>
  <si>
    <t>T0133</t>
  </si>
  <si>
    <t>T0134</t>
  </si>
  <si>
    <t>T0135</t>
  </si>
  <si>
    <t>T0136</t>
  </si>
  <si>
    <t>T0137</t>
  </si>
  <si>
    <t>C039</t>
  </si>
  <si>
    <t>T0138</t>
  </si>
  <si>
    <t>T0139</t>
  </si>
  <si>
    <t>C035</t>
  </si>
  <si>
    <t>T0140</t>
  </si>
  <si>
    <t>T0141</t>
  </si>
  <si>
    <t>C052</t>
  </si>
  <si>
    <t>T0142</t>
  </si>
  <si>
    <t>T0143</t>
  </si>
  <si>
    <t>p1029</t>
  </si>
  <si>
    <t>T0144</t>
  </si>
  <si>
    <t>T0145</t>
  </si>
  <si>
    <t>2026-08-06</t>
  </si>
  <si>
    <t>T0146</t>
  </si>
  <si>
    <t>T0147</t>
  </si>
  <si>
    <t>T0148</t>
  </si>
  <si>
    <t>T0149</t>
  </si>
  <si>
    <t>T0150</t>
  </si>
  <si>
    <t>T0151</t>
  </si>
  <si>
    <t>C012</t>
  </si>
  <si>
    <t>T0152</t>
  </si>
  <si>
    <t>T0153</t>
  </si>
  <si>
    <t>T0154</t>
  </si>
  <si>
    <t>T0155</t>
  </si>
  <si>
    <t>T0156</t>
  </si>
  <si>
    <t>P1007</t>
  </si>
  <si>
    <t>T0157</t>
  </si>
  <si>
    <t>T0158</t>
  </si>
  <si>
    <t>T0159</t>
  </si>
  <si>
    <t>T0160</t>
  </si>
  <si>
    <t>T0161</t>
  </si>
  <si>
    <t>T0162</t>
  </si>
  <si>
    <t>29/08/2026</t>
  </si>
  <si>
    <t>T0163</t>
  </si>
  <si>
    <t>T0164</t>
  </si>
  <si>
    <t>T0165</t>
  </si>
  <si>
    <t>T0166</t>
  </si>
  <si>
    <t>T0167</t>
  </si>
  <si>
    <t>T0168</t>
  </si>
  <si>
    <t>T0169</t>
  </si>
  <si>
    <t>T0170</t>
  </si>
  <si>
    <t>T0171</t>
  </si>
  <si>
    <t>T0172</t>
  </si>
  <si>
    <t>C036</t>
  </si>
  <si>
    <t>T0173</t>
  </si>
  <si>
    <t>T0174</t>
  </si>
  <si>
    <t>T0175</t>
  </si>
  <si>
    <t>T0176</t>
  </si>
  <si>
    <t>T0177</t>
  </si>
  <si>
    <t>T0178</t>
  </si>
  <si>
    <t>T0179</t>
  </si>
  <si>
    <t>T0180</t>
  </si>
  <si>
    <t>T0181</t>
  </si>
  <si>
    <t>T0182</t>
  </si>
  <si>
    <t>T0183</t>
  </si>
  <si>
    <t>T0184</t>
  </si>
  <si>
    <t>T0185</t>
  </si>
  <si>
    <t>T0186</t>
  </si>
  <si>
    <t>T0187</t>
  </si>
  <si>
    <t>T0188</t>
  </si>
  <si>
    <t>2026-08-02</t>
  </si>
  <si>
    <t>T0189</t>
  </si>
  <si>
    <t>T0190</t>
  </si>
  <si>
    <t>T0191</t>
  </si>
  <si>
    <t>T0192</t>
  </si>
  <si>
    <t>T0193</t>
  </si>
  <si>
    <t>T0194</t>
  </si>
  <si>
    <t>T0195</t>
  </si>
  <si>
    <t>T0196</t>
  </si>
  <si>
    <t>p1013</t>
  </si>
  <si>
    <t>Product_Name</t>
  </si>
  <si>
    <t>Category</t>
  </si>
  <si>
    <t>Brand</t>
  </si>
  <si>
    <t>Cost_Price</t>
  </si>
  <si>
    <t>MRP</t>
  </si>
  <si>
    <t>Supplier</t>
  </si>
  <si>
    <t>Rice 5kg</t>
  </si>
  <si>
    <t>Nestle</t>
  </si>
  <si>
    <t>Kongu Distributors</t>
  </si>
  <si>
    <t>Wheat Flour 5kg</t>
  </si>
  <si>
    <t>Cavin's</t>
  </si>
  <si>
    <t>Salem Wholesale Mart</t>
  </si>
  <si>
    <t>Toor Dal 1kg</t>
  </si>
  <si>
    <t>Aavin</t>
  </si>
  <si>
    <t>Urad Dal 1kg</t>
  </si>
  <si>
    <t>Sugar 1kg</t>
  </si>
  <si>
    <t>ITC</t>
  </si>
  <si>
    <t>Salt 1kg</t>
  </si>
  <si>
    <t>Aachi</t>
  </si>
  <si>
    <t>Milk 1L</t>
  </si>
  <si>
    <t>Britannia</t>
  </si>
  <si>
    <t>Curd 500g</t>
  </si>
  <si>
    <t>FreshLine Traders</t>
  </si>
  <si>
    <t>Paneer 200g</t>
  </si>
  <si>
    <t>Surf</t>
  </si>
  <si>
    <t>Metro Supply Co</t>
  </si>
  <si>
    <t>Butter 100g</t>
  </si>
  <si>
    <t>Cheese Slices</t>
  </si>
  <si>
    <t>Potato Chips</t>
  </si>
  <si>
    <t>HUL</t>
  </si>
  <si>
    <t>Sri Ganesh Agencies</t>
  </si>
  <si>
    <t>Banana Chips</t>
  </si>
  <si>
    <t>Tata</t>
  </si>
  <si>
    <t>Mixture 250g</t>
  </si>
  <si>
    <t>Biscuits Pack</t>
  </si>
  <si>
    <t>Chocolate Bar</t>
  </si>
  <si>
    <t>Mineral Water 1L</t>
  </si>
  <si>
    <t>Orange Juice 1L</t>
  </si>
  <si>
    <t>Cola 750ml</t>
  </si>
  <si>
    <t>Tea 250g</t>
  </si>
  <si>
    <t>Coffee 200g</t>
  </si>
  <si>
    <t>Bath Soap</t>
  </si>
  <si>
    <t>LocalFresh</t>
  </si>
  <si>
    <t>Shampoo 180ml</t>
  </si>
  <si>
    <t>Toothpaste 150g</t>
  </si>
  <si>
    <t>Handwash 250ml</t>
  </si>
  <si>
    <t>Dishwash Liquid</t>
  </si>
  <si>
    <t>Detergent 1kg</t>
  </si>
  <si>
    <t>Floor Cleaner 1L</t>
  </si>
  <si>
    <t>Tissue Roll</t>
  </si>
  <si>
    <t>Garbage Bags</t>
  </si>
  <si>
    <t>Customer_Name</t>
  </si>
  <si>
    <t>Gender</t>
  </si>
  <si>
    <t>Age</t>
  </si>
  <si>
    <t>City</t>
  </si>
  <si>
    <t>Membership</t>
  </si>
  <si>
    <t>Join_Date</t>
  </si>
  <si>
    <t>Priya Raj</t>
  </si>
  <si>
    <t>Female</t>
  </si>
  <si>
    <t>Coimbatore</t>
  </si>
  <si>
    <t>Regular</t>
  </si>
  <si>
    <t>Praveen S</t>
  </si>
  <si>
    <t>Male</t>
  </si>
  <si>
    <t>Namakkal</t>
  </si>
  <si>
    <t>Silver</t>
  </si>
  <si>
    <t>Janani M</t>
  </si>
  <si>
    <t>Erode</t>
  </si>
  <si>
    <t>Arun Shree</t>
  </si>
  <si>
    <t>Salem</t>
  </si>
  <si>
    <t>Anitha M</t>
  </si>
  <si>
    <t>Dharmapuri</t>
  </si>
  <si>
    <t>Gold</t>
  </si>
  <si>
    <t>Nithya R</t>
  </si>
  <si>
    <t>Karur</t>
  </si>
  <si>
    <t>Divya Raj</t>
  </si>
  <si>
    <t>Anitha Selvam</t>
  </si>
  <si>
    <t>Keerthi R</t>
  </si>
  <si>
    <t>Arun R</t>
  </si>
  <si>
    <t>Meena Priyan</t>
  </si>
  <si>
    <t>Vignesh Shree</t>
  </si>
  <si>
    <t>C013</t>
  </si>
  <si>
    <t>Priya R</t>
  </si>
  <si>
    <t>Priya Kumar</t>
  </si>
  <si>
    <t>C015</t>
  </si>
  <si>
    <t>Keerthi M</t>
  </si>
  <si>
    <t>Sanjay Babu</t>
  </si>
  <si>
    <t>Nithya M</t>
  </si>
  <si>
    <t>C019</t>
  </si>
  <si>
    <t>Nithya S</t>
  </si>
  <si>
    <t>Gayathri Kumar</t>
  </si>
  <si>
    <t>Janani R</t>
  </si>
  <si>
    <t>Keerthi Shree</t>
  </si>
  <si>
    <t>Surya Priyan</t>
  </si>
  <si>
    <t>C026</t>
  </si>
  <si>
    <t>Keerthi Raj</t>
  </si>
  <si>
    <t>Harish R</t>
  </si>
  <si>
    <t>Meena M</t>
  </si>
  <si>
    <t>Anitha Shree</t>
  </si>
  <si>
    <t>Vignesh Raj</t>
  </si>
  <si>
    <t>Praveen Babu</t>
  </si>
  <si>
    <t>Kavin Kumar</t>
  </si>
  <si>
    <t>Divya Babu</t>
  </si>
  <si>
    <t>Kavin Raj</t>
  </si>
  <si>
    <t>Janani S</t>
  </si>
  <si>
    <t>Divya Devi</t>
  </si>
  <si>
    <t>Divya R</t>
  </si>
  <si>
    <t>Deepa Raj</t>
  </si>
  <si>
    <t>Harish Raj</t>
  </si>
  <si>
    <t>Lokesh Priyan</t>
  </si>
  <si>
    <t>Divya Shree</t>
  </si>
  <si>
    <t>Harish Selvam</t>
  </si>
  <si>
    <t>Swetha Kumar</t>
  </si>
  <si>
    <t>Janani Devi</t>
  </si>
  <si>
    <t>Karthik Babu</t>
  </si>
  <si>
    <t>C053</t>
  </si>
  <si>
    <t>Meena Raj</t>
  </si>
  <si>
    <t>Naveen S</t>
  </si>
  <si>
    <t>Karthik Selvam</t>
  </si>
  <si>
    <t>Keerthi S</t>
  </si>
  <si>
    <t>Divya Priyan</t>
  </si>
  <si>
    <t>C058</t>
  </si>
  <si>
    <t>Karthik S</t>
  </si>
  <si>
    <t>Karthik Shree</t>
  </si>
  <si>
    <t>Karthik Raj</t>
  </si>
  <si>
    <t xml:space="preserve"> Clean_Product_ID</t>
  </si>
  <si>
    <t>Clean_Payment_Mode</t>
  </si>
  <si>
    <t>Clean_Branch</t>
  </si>
  <si>
    <t>Guest</t>
  </si>
  <si>
    <t>Row Labels</t>
  </si>
  <si>
    <t>Grand Total</t>
  </si>
  <si>
    <t>Discount Percentage</t>
  </si>
  <si>
    <t>Gross_ Sales</t>
  </si>
  <si>
    <t>Net_Sales</t>
  </si>
  <si>
    <t>Profit</t>
  </si>
  <si>
    <t>Sum of Net_Sales</t>
  </si>
  <si>
    <t>Clean_Sale_Date</t>
  </si>
  <si>
    <t>Aug</t>
  </si>
  <si>
    <t>Sep</t>
  </si>
  <si>
    <t>CASH</t>
  </si>
  <si>
    <t>KPI</t>
  </si>
  <si>
    <t>Total Sales</t>
  </si>
  <si>
    <t>Total Transactions</t>
  </si>
  <si>
    <t>Units Sold</t>
  </si>
  <si>
    <t>Average Basket Value</t>
  </si>
  <si>
    <t>Count of Transaction_ID</t>
  </si>
  <si>
    <t>The highest-selling category is ______.</t>
  </si>
  <si>
    <t>The strongest product is ______ and the weakest among the top set is ______.</t>
  </si>
  <si>
    <t>The ______ branch performs best, and most sales are paid through ______.</t>
  </si>
  <si>
    <t xml:space="preserve"> Turn Charts into Insights</t>
  </si>
  <si>
    <t>Sum of Qty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</si>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</sst>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d\-mmm\-yyyy"/>
    <numFmt numFmtId="166" formatCode="&quot;₹&quot;\ #,##0.00"/>
  </numFmts>
  <fonts count="7">
    <font>
      <sz val="11"/>
      <name val="Carlito"/>
    </font>
    <font>
      <sz val="11"/>
      <color theme="1"/>
      <name val="Calibri"/>
      <family val="2"/>
      <scheme val="minor"/>
    </font>
    <font>
      <sz val="11"/>
      <color theme="1"/>
      <name val="Calibri"/>
      <family val="2"/>
      <scheme val="minor"/>
    </font>
    <font>
      <b/>
      <sz val="11"/>
      <color rgb="FFFFFFFF"/>
      <name val="Carlito"/>
    </font>
    <font>
      <sz val="11"/>
      <name val="Carlito"/>
    </font>
    <font>
      <sz val="11"/>
      <color theme="1"/>
      <name val="Carlito"/>
    </font>
    <font>
      <sz val="20"/>
      <name val="Carlito"/>
    </font>
  </fonts>
  <fills count="7">
    <fill>
      <patternFill patternType="none"/>
    </fill>
    <fill>
      <patternFill patternType="gray125"/>
    </fill>
    <fill>
      <patternFill patternType="solid">
        <fgColor rgb="FF0B2A4A"/>
      </patternFill>
    </fill>
    <fill>
      <patternFill patternType="solid">
        <fgColor theme="7" tint="0.79998168889431442"/>
        <bgColor indexed="65"/>
      </patternFill>
    </fill>
    <fill>
      <patternFill patternType="solid">
        <fgColor theme="4" tint="0.79998168889431442"/>
        <bgColor theme="4" tint="0.79998168889431442"/>
      </patternFill>
    </fill>
    <fill>
      <patternFill patternType="solid">
        <fgColor rgb="FF0B2A4A"/>
        <bgColor indexed="64"/>
      </patternFill>
    </fill>
    <fill>
      <patternFill patternType="solid">
        <fgColor theme="0"/>
        <bgColor indexed="64"/>
      </patternFill>
    </fill>
  </fills>
  <borders count="5">
    <border>
      <left/>
      <right/>
      <top/>
      <bottom/>
      <diagonal/>
    </border>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diagonal/>
    </border>
  </borders>
  <cellStyleXfs count="3">
    <xf numFmtId="0" fontId="0" fillId="0" borderId="0"/>
    <xf numFmtId="9" fontId="4" fillId="0" borderId="0" applyFont="0" applyFill="0" applyBorder="0" applyAlignment="0" applyProtection="0"/>
    <xf numFmtId="0" fontId="2" fillId="3" borderId="0" applyNumberFormat="0" applyBorder="0" applyAlignment="0" applyProtection="0"/>
  </cellStyleXfs>
  <cellXfs count="36">
    <xf numFmtId="0" fontId="0" fillId="0" borderId="0" xfId="0"/>
    <xf numFmtId="0" fontId="3" fillId="2" borderId="0" xfId="0" applyFont="1" applyFill="1" applyAlignment="1">
      <alignment horizontal="center" vertical="center" wrapText="1"/>
    </xf>
    <xf numFmtId="0" fontId="0" fillId="0" borderId="0" xfId="0" applyAlignment="1">
      <alignment wrapText="1"/>
    </xf>
    <xf numFmtId="0" fontId="3" fillId="2" borderId="1" xfId="0" applyFont="1" applyFill="1" applyBorder="1" applyAlignment="1">
      <alignment horizontal="center" vertical="center" wrapText="1"/>
    </xf>
    <xf numFmtId="164" fontId="0" fillId="0" borderId="0" xfId="0" applyNumberFormat="1" applyAlignment="1">
      <alignment wrapText="1"/>
    </xf>
    <xf numFmtId="165" fontId="0" fillId="0" borderId="0" xfId="0" applyNumberFormat="1" applyAlignment="1">
      <alignment wrapText="1"/>
    </xf>
    <xf numFmtId="9" fontId="0" fillId="0" borderId="0" xfId="1" applyFont="1"/>
    <xf numFmtId="0" fontId="5" fillId="4" borderId="2" xfId="0" applyFont="1" applyFill="1" applyBorder="1" applyAlignment="1">
      <alignment wrapText="1"/>
    </xf>
    <xf numFmtId="0" fontId="5" fillId="4" borderId="3" xfId="0" applyFont="1" applyFill="1" applyBorder="1" applyAlignment="1">
      <alignment wrapText="1"/>
    </xf>
    <xf numFmtId="164" fontId="5" fillId="4" borderId="3" xfId="0" applyNumberFormat="1" applyFont="1" applyFill="1" applyBorder="1" applyAlignment="1">
      <alignment wrapText="1"/>
    </xf>
    <xf numFmtId="9" fontId="5" fillId="4" borderId="3" xfId="1" applyFont="1" applyFill="1" applyBorder="1" applyAlignment="1">
      <alignment wrapText="1"/>
    </xf>
    <xf numFmtId="0" fontId="5" fillId="4" borderId="3" xfId="0" applyFont="1" applyFill="1" applyBorder="1"/>
    <xf numFmtId="0" fontId="5" fillId="0" borderId="2" xfId="0" applyFont="1" applyBorder="1" applyAlignment="1">
      <alignment wrapText="1"/>
    </xf>
    <xf numFmtId="0" fontId="5" fillId="0" borderId="3" xfId="0" applyFont="1" applyBorder="1" applyAlignment="1">
      <alignment wrapText="1"/>
    </xf>
    <xf numFmtId="164" fontId="5" fillId="0" borderId="3" xfId="0" applyNumberFormat="1" applyFont="1" applyBorder="1" applyAlignment="1">
      <alignment wrapText="1"/>
    </xf>
    <xf numFmtId="9" fontId="5" fillId="0" borderId="3" xfId="1" applyFont="1" applyBorder="1" applyAlignment="1">
      <alignment wrapText="1"/>
    </xf>
    <xf numFmtId="0" fontId="5" fillId="0" borderId="3" xfId="0" applyFont="1" applyBorder="1"/>
    <xf numFmtId="14" fontId="5" fillId="4" borderId="3" xfId="0" applyNumberFormat="1" applyFont="1" applyFill="1" applyBorder="1"/>
    <xf numFmtId="14" fontId="5" fillId="0" borderId="3" xfId="0" applyNumberFormat="1" applyFont="1" applyBorder="1"/>
    <xf numFmtId="0" fontId="0" fillId="0" borderId="0" xfId="0" pivotButton="1"/>
    <xf numFmtId="0" fontId="0" fillId="0" borderId="0" xfId="0" applyAlignment="1">
      <alignment horizontal="left"/>
    </xf>
    <xf numFmtId="9" fontId="3" fillId="2" borderId="1" xfId="1"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xf numFmtId="0" fontId="3" fillId="5" borderId="1" xfId="0" applyFont="1" applyFill="1" applyBorder="1" applyAlignment="1">
      <alignment horizontal="center" vertical="center" wrapText="1"/>
    </xf>
    <xf numFmtId="0" fontId="3" fillId="5" borderId="0" xfId="0" applyFont="1" applyFill="1" applyAlignment="1">
      <alignment horizontal="center" vertical="center" wrapText="1"/>
    </xf>
    <xf numFmtId="2" fontId="0" fillId="0" borderId="0" xfId="0" applyNumberFormat="1"/>
    <xf numFmtId="14" fontId="5" fillId="4" borderId="3" xfId="0" applyNumberFormat="1" applyFont="1" applyFill="1" applyBorder="1" applyAlignment="1">
      <alignment wrapText="1"/>
    </xf>
    <xf numFmtId="14" fontId="5" fillId="0" borderId="3" xfId="0" applyNumberFormat="1" applyFont="1" applyBorder="1" applyAlignment="1">
      <alignment wrapText="1"/>
    </xf>
    <xf numFmtId="0" fontId="2" fillId="3" borderId="0" xfId="2"/>
    <xf numFmtId="166" fontId="2" fillId="3" borderId="0" xfId="2" applyNumberFormat="1"/>
    <xf numFmtId="0" fontId="6" fillId="0" borderId="0" xfId="0" applyFont="1"/>
    <xf numFmtId="0" fontId="1" fillId="3" borderId="0" xfId="2" applyFont="1"/>
    <xf numFmtId="166" fontId="0" fillId="0" borderId="0" xfId="0" applyNumberFormat="1"/>
    <xf numFmtId="0" fontId="0" fillId="6" borderId="0" xfId="0" applyFill="1"/>
    <xf numFmtId="0" fontId="0" fillId="0" borderId="0" xfId="0" applyAlignment="1">
      <alignment horizontal="center"/>
    </xf>
  </cellXfs>
  <cellStyles count="3">
    <cellStyle name="20% - Accent4" xfId="2" builtinId="42"/>
    <cellStyle name="Normal" xfId="0" builtinId="0"/>
    <cellStyle name="Percent" xfId="1" builtinId="5"/>
  </cellStyles>
  <dxfs count="40">
    <dxf>
      <font>
        <b/>
        <color rgb="FF991B1B"/>
      </font>
      <fill>
        <patternFill patternType="solid">
          <bgColor rgb="FFFECACA"/>
        </patternFill>
      </fill>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3" formatCode="0%"/>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0.00"/>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9" formatCode="dd/mm/yyyy"/>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dxf>
    <dxf>
      <font>
        <b/>
        <i val="0"/>
        <strike val="0"/>
        <condense val="0"/>
        <extend val="0"/>
        <outline val="0"/>
        <shadow val="0"/>
        <u val="none"/>
        <vertAlign val="baseline"/>
        <sz val="11"/>
        <color rgb="FFFFFFFF"/>
        <name val="Carlito"/>
        <scheme val="none"/>
      </font>
      <fill>
        <patternFill patternType="solid">
          <fgColor indexed="64"/>
          <bgColor rgb="FF0B2A4A"/>
        </patternFill>
      </fill>
      <alignment horizontal="center" vertical="center" textRotation="0" wrapText="1" indent="0" justifyLastLine="0" shrinkToFit="0" readingOrder="0"/>
    </dxf>
    <dxf>
      <numFmt numFmtId="2" formatCode="0.00"/>
    </dxf>
    <dxf>
      <numFmt numFmtId="2" formatCode="0.00"/>
    </dxf>
    <dxf>
      <numFmt numFmtId="2" formatCode="0.00"/>
    </dxf>
    <dxf>
      <numFmt numFmtId="2" formatCode="0.00"/>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[Linkskill_Grocery_Supermarket_Mini_Capstone_Dataset (1).xlsx]Pivot Analyse!PivotTable5</c:name>
    <c:fmtId val="8"/>
  </c:pivotSource>
  <c:chart>
    <c:title>
      <c:tx>
        <c:rich>
          <a:bodyPr rot="0" spcFirstLastPara="1" vertOverflow="ellipsis" vert="horz" wrap="square" anchor="ctr" anchorCtr="1"/>
          <a:lstStyle/>
          <a:p>
            <a:pPr lvl="2" algn="ctr" rtl="0">
              <a:defRPr sz="1600" b="1" i="0" u="none" strike="noStrike" kern="1200" cap="all" spc="120" normalizeH="0" baseline="0">
                <a:solidFill>
                  <a:sysClr val="windowText" lastClr="000000">
                    <a:lumMod val="65000"/>
                    <a:lumOff val="35000"/>
                  </a:sys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lvl="2" algn="ctr" rtl="0">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Analyse'!$A$4:$A$10</c:f>
              <c:strCache>
                <c:ptCount val="6"/>
                <c:pt idx="0">
                  <c:v>Dairy</c:v>
                </c:pt>
                <c:pt idx="1">
                  <c:v>Beverages</c:v>
                </c:pt>
                <c:pt idx="2">
                  <c:v>Staples</c:v>
                </c:pt>
                <c:pt idx="3">
                  <c:v>Household</c:v>
                </c:pt>
                <c:pt idx="4">
                  <c:v>Snacks</c:v>
                </c:pt>
                <c:pt idx="5">
                  <c:v>Personal Care</c:v>
                </c:pt>
              </c:strCache>
            </c:strRef>
          </c:cat>
          <c:val>
            <c:numRef>
              <c:f>'Pivot Analyse'!$B$4:$B$10</c:f>
              <c:numCache>
                <c:formatCode>0.00</c:formatCode>
                <c:ptCount val="6"/>
                <c:pt idx="0">
                  <c:v>40568.287999999993</c:v>
                </c:pt>
                <c:pt idx="1">
                  <c:v>36637.476499999997</c:v>
                </c:pt>
                <c:pt idx="2">
                  <c:v>27322.548999999999</c:v>
                </c:pt>
                <c:pt idx="3">
                  <c:v>19525.543000000005</c:v>
                </c:pt>
                <c:pt idx="4">
                  <c:v>18771.894499999999</c:v>
                </c:pt>
                <c:pt idx="5">
                  <c:v>18466.172500000001</c:v>
                </c:pt>
              </c:numCache>
            </c:numRef>
          </c:val>
          <c:extLst>
            <c:ext xmlns:c16="http://schemas.microsoft.com/office/drawing/2014/chart" uri="{C3380CC4-5D6E-409C-BE32-E72D297353CC}">
              <c16:uniqueId val="{00000000-D515-456A-9EEE-9EC1D1BB2F33}"/>
            </c:ext>
          </c:extLst>
        </c:ser>
        <c:dLbls>
          <c:dLblPos val="outEnd"/>
          <c:showLegendKey val="0"/>
          <c:showVal val="1"/>
          <c:showCatName val="0"/>
          <c:showSerName val="0"/>
          <c:showPercent val="0"/>
          <c:showBubbleSize val="0"/>
        </c:dLbls>
        <c:gapWidth val="444"/>
        <c:overlap val="-90"/>
        <c:axId val="964040624"/>
        <c:axId val="951462672"/>
      </c:barChart>
      <c:catAx>
        <c:axId val="96404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1462672"/>
        <c:crosses val="autoZero"/>
        <c:auto val="1"/>
        <c:lblAlgn val="ctr"/>
        <c:lblOffset val="100"/>
        <c:noMultiLvlLbl val="0"/>
      </c:catAx>
      <c:valAx>
        <c:axId val="951462672"/>
        <c:scaling>
          <c:orientation val="minMax"/>
        </c:scaling>
        <c:delete val="1"/>
        <c:axPos val="l"/>
        <c:numFmt formatCode="0.00" sourceLinked="1"/>
        <c:majorTickMark val="none"/>
        <c:minorTickMark val="none"/>
        <c:tickLblPos val="nextTo"/>
        <c:crossAx val="96404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[Linkskill_Grocery_Supermarket_Mini_Capstone_Dataset (1).xlsx]Pivot Analyse!PivotTable6</c:name>
    <c:fmtId val="3"/>
  </c:pivotSource>
  <c:chart>
    <c:title>
      <c:tx>
        <c:rich>
          <a:bodyPr rot="0" spcFirstLastPara="1" vertOverflow="ellipsis" vert="horz" wrap="square" anchor="ctr" anchorCtr="1"/>
          <a:lstStyle/>
          <a:p>
            <a:pPr lvl="2"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DAILY SALES TREND</a:t>
            </a:r>
          </a:p>
        </c:rich>
      </c:tx>
      <c:overlay val="0"/>
      <c:spPr>
        <a:noFill/>
        <a:ln>
          <a:noFill/>
        </a:ln>
        <a:effectLst/>
      </c:spPr>
      <c:txPr>
        <a:bodyPr rot="0" spcFirstLastPara="1" vertOverflow="ellipsis" vert="horz" wrap="square" anchor="ctr" anchorCtr="1"/>
        <a:lstStyle/>
        <a:p>
          <a:pPr lvl="2"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1097331583552158E-2"/>
              <c:y val="7.179389034703995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1097331583552158E-2"/>
              <c:y val="7.179389034703995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Analyse'!$E$3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849E-4AB4-87A5-A048CA4B22C8}"/>
              </c:ext>
            </c:extLst>
          </c:dPt>
          <c:dLbls>
            <c:dLbl>
              <c:idx val="1"/>
              <c:layout>
                <c:manualLayout>
                  <c:x val="-2.1097331583552158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9E-4AB4-87A5-A048CA4B22C8}"/>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Analyse'!$D$4:$D$6</c:f>
              <c:strCache>
                <c:ptCount val="2"/>
                <c:pt idx="0">
                  <c:v>Aug</c:v>
                </c:pt>
                <c:pt idx="1">
                  <c:v>Sep</c:v>
                </c:pt>
              </c:strCache>
            </c:strRef>
          </c:cat>
          <c:val>
            <c:numRef>
              <c:f>'Pivot Analyse'!$E$4:$E$6</c:f>
              <c:numCache>
                <c:formatCode>0.00</c:formatCode>
                <c:ptCount val="2"/>
                <c:pt idx="0">
                  <c:v>136636.57249999998</c:v>
                </c:pt>
                <c:pt idx="1">
                  <c:v>24655.351000000002</c:v>
                </c:pt>
              </c:numCache>
            </c:numRef>
          </c:val>
          <c:smooth val="0"/>
          <c:extLst>
            <c:ext xmlns:c16="http://schemas.microsoft.com/office/drawing/2014/chart" uri="{C3380CC4-5D6E-409C-BE32-E72D297353CC}">
              <c16:uniqueId val="{00000001-849E-4AB4-87A5-A048CA4B22C8}"/>
            </c:ext>
          </c:extLst>
        </c:ser>
        <c:dLbls>
          <c:dLblPos val="t"/>
          <c:showLegendKey val="0"/>
          <c:showVal val="1"/>
          <c:showCatName val="0"/>
          <c:showSerName val="0"/>
          <c:showPercent val="0"/>
          <c:showBubbleSize val="0"/>
        </c:dLbls>
        <c:smooth val="0"/>
        <c:axId val="963949680"/>
        <c:axId val="951457392"/>
      </c:lineChart>
      <c:catAx>
        <c:axId val="9639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951457392"/>
        <c:crosses val="autoZero"/>
        <c:auto val="1"/>
        <c:lblAlgn val="ctr"/>
        <c:lblOffset val="100"/>
        <c:noMultiLvlLbl val="0"/>
      </c:catAx>
      <c:valAx>
        <c:axId val="95145739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6394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[Linkskill_Grocery_Supermarket_Mini_Capstone_Dataset (1).xlsx]Pivot Analyse!PivotTable7</c:name>
    <c:fmtId val="1"/>
  </c:pivotSource>
  <c:chart>
    <c:title>
      <c:tx>
        <c:rich>
          <a:bodyPr rot="0" spcFirstLastPara="1" vertOverflow="ellipsis" vert="horz" wrap="square" anchor="ctr" anchorCtr="1"/>
          <a:lstStyle/>
          <a:p>
            <a:pPr lvl="2"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Payment Mode Mix</a:t>
            </a:r>
          </a:p>
        </c:rich>
      </c:tx>
      <c:layout>
        <c:manualLayout>
          <c:xMode val="edge"/>
          <c:yMode val="edge"/>
          <c:x val="0.11567381663498959"/>
          <c:y val="4.6225085362391304E-2"/>
        </c:manualLayout>
      </c:layout>
      <c:overlay val="0"/>
      <c:spPr>
        <a:noFill/>
        <a:ln>
          <a:noFill/>
        </a:ln>
        <a:effectLst/>
      </c:spPr>
      <c:txPr>
        <a:bodyPr rot="0" spcFirstLastPara="1" vertOverflow="ellipsis" vert="horz" wrap="square" anchor="ctr" anchorCtr="1"/>
        <a:lstStyle/>
        <a:p>
          <a:pPr lvl="2"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1030008110300087"/>
              <c:y val="0"/>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7323600973236016E-2"/>
              <c:y val="-6.8376056104976851E-2"/>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5.8394160583941666E-2"/>
              <c:y val="0.15498572717128076"/>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7323600973236016E-2"/>
              <c:y val="-6.8376056104976851E-2"/>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8394160583941666E-2"/>
              <c:y val="0.15498572717128076"/>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030008110300087"/>
              <c:y val="0"/>
            </c:manualLayout>
          </c:layout>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824166157312528"/>
          <c:y val="0.10007549910393797"/>
          <c:w val="0.46641666666666665"/>
          <c:h val="0.77736111111111106"/>
        </c:manualLayout>
      </c:layout>
      <c:doughnutChart>
        <c:varyColors val="1"/>
        <c:ser>
          <c:idx val="0"/>
          <c:order val="0"/>
          <c:tx>
            <c:strRef>
              <c:f>'Pivot Analyse'!$H$3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AB-4071-952C-22B5BC1379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AB-4071-952C-22B5BC1379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AB-4071-952C-22B5BC13798D}"/>
              </c:ext>
            </c:extLst>
          </c:dPt>
          <c:dLbls>
            <c:dLbl>
              <c:idx val="0"/>
              <c:layout>
                <c:manualLayout>
                  <c:x val="9.7323600973236016E-2"/>
                  <c:y val="-6.83760561049768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AB-4071-952C-22B5BC13798D}"/>
                </c:ext>
              </c:extLst>
            </c:dLbl>
            <c:dLbl>
              <c:idx val="1"/>
              <c:layout>
                <c:manualLayout>
                  <c:x val="-5.8394160583941666E-2"/>
                  <c:y val="0.15498572717128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AB-4071-952C-22B5BC13798D}"/>
                </c:ext>
              </c:extLst>
            </c:dLbl>
            <c:dLbl>
              <c:idx val="2"/>
              <c:layout>
                <c:manualLayout>
                  <c:x val="-0.11030008110300087"/>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AB-4071-952C-22B5BC13798D}"/>
                </c:ext>
              </c:extLst>
            </c:dLbl>
            <c:spPr>
              <a:solidFill>
                <a:sysClr val="window" lastClr="FFFFFF"/>
              </a:solidFill>
              <a:ln>
                <a:solidFill>
                  <a:sysClr val="windowText" lastClr="000000">
                    <a:lumMod val="25000"/>
                    <a:lumOff val="75000"/>
                    <a:alpha val="99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Analyse'!$G$4:$G$7</c:f>
              <c:strCache>
                <c:ptCount val="3"/>
                <c:pt idx="0">
                  <c:v>UPI</c:v>
                </c:pt>
                <c:pt idx="1">
                  <c:v>CARD</c:v>
                </c:pt>
                <c:pt idx="2">
                  <c:v>CASH</c:v>
                </c:pt>
              </c:strCache>
            </c:strRef>
          </c:cat>
          <c:val>
            <c:numRef>
              <c:f>'Pivot Analyse'!$H$4:$H$7</c:f>
              <c:numCache>
                <c:formatCode>0.00</c:formatCode>
                <c:ptCount val="3"/>
                <c:pt idx="0">
                  <c:v>60933.12099999997</c:v>
                </c:pt>
                <c:pt idx="1">
                  <c:v>59999.534999999996</c:v>
                </c:pt>
                <c:pt idx="2">
                  <c:v>40359.267500000002</c:v>
                </c:pt>
              </c:numCache>
            </c:numRef>
          </c:val>
          <c:extLst>
            <c:ext xmlns:c16="http://schemas.microsoft.com/office/drawing/2014/chart" uri="{C3380CC4-5D6E-409C-BE32-E72D297353CC}">
              <c16:uniqueId val="{00000006-8FAB-4071-952C-22B5BC13798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[Linkskill_Grocery_Supermarket_Mini_Capstone_Dataset (1).xlsx]Pivot Analyse!PivotTable8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Analyse'!$K$3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Analyse'!$J$4:$J$9</c:f>
              <c:strCache>
                <c:ptCount val="5"/>
                <c:pt idx="0">
                  <c:v>Cheese Slices</c:v>
                </c:pt>
                <c:pt idx="1">
                  <c:v>Cola 750ml</c:v>
                </c:pt>
                <c:pt idx="2">
                  <c:v>Tea 250g</c:v>
                </c:pt>
                <c:pt idx="3">
                  <c:v>Butter 100g</c:v>
                </c:pt>
                <c:pt idx="4">
                  <c:v>Curd 500g</c:v>
                </c:pt>
              </c:strCache>
            </c:strRef>
          </c:cat>
          <c:val>
            <c:numRef>
              <c:f>'Pivot Analyse'!$K$4:$K$9</c:f>
              <c:numCache>
                <c:formatCode>0.00</c:formatCode>
                <c:ptCount val="5"/>
                <c:pt idx="0">
                  <c:v>16201.041499999999</c:v>
                </c:pt>
                <c:pt idx="1">
                  <c:v>12841.1325</c:v>
                </c:pt>
                <c:pt idx="2">
                  <c:v>12782.023499999999</c:v>
                </c:pt>
                <c:pt idx="3">
                  <c:v>12779.545999999998</c:v>
                </c:pt>
                <c:pt idx="4">
                  <c:v>10358.282499999999</c:v>
                </c:pt>
              </c:numCache>
            </c:numRef>
          </c:val>
          <c:extLst>
            <c:ext xmlns:c16="http://schemas.microsoft.com/office/drawing/2014/chart" uri="{C3380CC4-5D6E-409C-BE32-E72D297353CC}">
              <c16:uniqueId val="{00000000-BC6A-4D1C-8D9C-3F01F71A3D45}"/>
            </c:ext>
          </c:extLst>
        </c:ser>
        <c:dLbls>
          <c:dLblPos val="outEnd"/>
          <c:showLegendKey val="0"/>
          <c:showVal val="1"/>
          <c:showCatName val="0"/>
          <c:showSerName val="0"/>
          <c:showPercent val="0"/>
          <c:showBubbleSize val="0"/>
        </c:dLbls>
        <c:gapWidth val="444"/>
        <c:overlap val="-90"/>
        <c:axId val="946591264"/>
        <c:axId val="951362832"/>
      </c:barChart>
      <c:catAx>
        <c:axId val="94659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1362832"/>
        <c:crosses val="autoZero"/>
        <c:auto val="1"/>
        <c:lblAlgn val="ctr"/>
        <c:lblOffset val="100"/>
        <c:noMultiLvlLbl val="0"/>
      </c:catAx>
      <c:valAx>
        <c:axId val="951362832"/>
        <c:scaling>
          <c:orientation val="minMax"/>
        </c:scaling>
        <c:delete val="1"/>
        <c:axPos val="l"/>
        <c:numFmt formatCode="0.00" sourceLinked="1"/>
        <c:majorTickMark val="none"/>
        <c:minorTickMark val="none"/>
        <c:tickLblPos val="nextTo"/>
        <c:crossAx val="94659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11</xdr:row>
      <xdr:rowOff>57150</xdr:rowOff>
    </xdr:from>
    <xdr:to>
      <xdr:col>4</xdr:col>
      <xdr:colOff>200025</xdr:colOff>
      <xdr:row>25</xdr:row>
      <xdr:rowOff>47625</xdr:rowOff>
    </xdr:to>
    <mc:AlternateContent xmlns:mc="http://schemas.openxmlformats.org/markup-compatibility/2006" xmlns:a14="http://schemas.microsoft.com/office/drawing/2010/main">
      <mc:Choice Requires="a14">
        <xdr:graphicFrame macro="">
          <xdr:nvGraphicFramePr>
            <xdr:cNvPr id="6" name="Clean_Branch">
              <a:extLst>
                <a:ext uri="{FF2B5EF4-FFF2-40B4-BE49-F238E27FC236}">
                  <a16:creationId xmlns:a16="http://schemas.microsoft.com/office/drawing/2014/main" id="{5CBC0B16-16E2-768E-9847-C802E55A061C}"/>
                </a:ext>
              </a:extLst>
            </xdr:cNvPr>
            <xdr:cNvGraphicFramePr/>
          </xdr:nvGraphicFramePr>
          <xdr:xfrm>
            <a:off x="0" y="0"/>
            <a:ext cx="0" cy="0"/>
          </xdr:xfrm>
          <a:graphic>
            <a:graphicData uri="http://schemas.microsoft.com/office/drawing/2010/slicer">
              <sle:slicer xmlns:sle="http://schemas.microsoft.com/office/drawing/2010/slicer" name="Clean_Branch"/>
            </a:graphicData>
          </a:graphic>
        </xdr:graphicFrame>
      </mc:Choice>
      <mc:Fallback xmlns="">
        <xdr:sp macro="" textlink="">
          <xdr:nvSpPr>
            <xdr:cNvPr id="0" name=""/>
            <xdr:cNvSpPr>
              <a:spLocks noTextEdit="1"/>
            </xdr:cNvSpPr>
          </xdr:nvSpPr>
          <xdr:spPr>
            <a:xfrm>
              <a:off x="2324100" y="2095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1000125</xdr:colOff>
      <xdr:row>10</xdr:row>
      <xdr:rowOff>152400</xdr:rowOff>
    </xdr:from>
    <xdr:to>
      <xdr:col>6</xdr:col>
      <xdr:colOff>876300</xdr:colOff>
      <xdr:row>24</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A61C6E8C-32C4-4555-3348-1071A2DCE68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53000" y="2009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15</xdr:row>
      <xdr:rowOff>9525</xdr:rowOff>
    </xdr:from>
    <xdr:to>
      <xdr:col>8</xdr:col>
      <xdr:colOff>590550</xdr:colOff>
      <xdr:row>29</xdr:row>
      <xdr:rowOff>0</xdr:rowOff>
    </xdr:to>
    <mc:AlternateContent xmlns:mc="http://schemas.openxmlformats.org/markup-compatibility/2006" xmlns:a14="http://schemas.microsoft.com/office/drawing/2010/main">
      <mc:Choice Requires="a14">
        <xdr:graphicFrame macro="">
          <xdr:nvGraphicFramePr>
            <xdr:cNvPr id="8" name="Membership">
              <a:extLst>
                <a:ext uri="{FF2B5EF4-FFF2-40B4-BE49-F238E27FC236}">
                  <a16:creationId xmlns:a16="http://schemas.microsoft.com/office/drawing/2014/main" id="{A0827770-0BE9-C116-048A-DBF3B55D3710}"/>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6934200" y="2771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647700</xdr:colOff>
      <xdr:row>12</xdr:row>
      <xdr:rowOff>114300</xdr:rowOff>
    </xdr:from>
    <xdr:to>
      <xdr:col>7</xdr:col>
      <xdr:colOff>600075</xdr:colOff>
      <xdr:row>26</xdr:row>
      <xdr:rowOff>47625</xdr:rowOff>
    </xdr:to>
    <xdr:graphicFrame macro="">
      <xdr:nvGraphicFramePr>
        <xdr:cNvPr id="6" name="Chart 1">
          <a:extLst>
            <a:ext uri="{FF2B5EF4-FFF2-40B4-BE49-F238E27FC236}">
              <a16:creationId xmlns:a16="http://schemas.microsoft.com/office/drawing/2014/main" id="{10D6A64A-0186-3140-F104-B63875801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676275</xdr:colOff>
      <xdr:row>12</xdr:row>
      <xdr:rowOff>100012</xdr:rowOff>
    </xdr:from>
    <xdr:to>
      <xdr:col>14</xdr:col>
      <xdr:colOff>238125</xdr:colOff>
      <xdr:row>26</xdr:row>
      <xdr:rowOff>66675</xdr:rowOff>
    </xdr:to>
    <xdr:graphicFrame macro="">
      <xdr:nvGraphicFramePr>
        <xdr:cNvPr id="7" name="Chart 2">
          <a:extLst>
            <a:ext uri="{FF2B5EF4-FFF2-40B4-BE49-F238E27FC236}">
              <a16:creationId xmlns:a16="http://schemas.microsoft.com/office/drawing/2014/main" id="{FB296092-56BF-236E-4737-807F81B48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628650</xdr:colOff>
      <xdr:row>26</xdr:row>
      <xdr:rowOff>138112</xdr:rowOff>
    </xdr:from>
    <xdr:to>
      <xdr:col>7</xdr:col>
      <xdr:colOff>581025</xdr:colOff>
      <xdr:row>43</xdr:row>
      <xdr:rowOff>57150</xdr:rowOff>
    </xdr:to>
    <xdr:graphicFrame macro="">
      <xdr:nvGraphicFramePr>
        <xdr:cNvPr id="8" name="Chart 3">
          <a:extLst>
            <a:ext uri="{FF2B5EF4-FFF2-40B4-BE49-F238E27FC236}">
              <a16:creationId xmlns:a16="http://schemas.microsoft.com/office/drawing/2014/main" id="{CBD1E472-1A10-F85C-9F04-F941B88BD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676275</xdr:colOff>
      <xdr:row>26</xdr:row>
      <xdr:rowOff>133350</xdr:rowOff>
    </xdr:from>
    <xdr:to>
      <xdr:col>14</xdr:col>
      <xdr:colOff>314325</xdr:colOff>
      <xdr:row>43</xdr:row>
      <xdr:rowOff>66675</xdr:rowOff>
    </xdr:to>
    <xdr:graphicFrame macro="">
      <xdr:nvGraphicFramePr>
        <xdr:cNvPr id="9" name="Chart 4">
          <a:extLst>
            <a:ext uri="{FF2B5EF4-FFF2-40B4-BE49-F238E27FC236}">
              <a16:creationId xmlns:a16="http://schemas.microsoft.com/office/drawing/2014/main" id="{6FA75E88-7264-F0B0-516D-4DB23D710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504825</xdr:colOff>
      <xdr:row>12</xdr:row>
      <xdr:rowOff>76201</xdr:rowOff>
    </xdr:from>
    <xdr:to>
      <xdr:col>17</xdr:col>
      <xdr:colOff>276225</xdr:colOff>
      <xdr:row>19</xdr:row>
      <xdr:rowOff>28575</xdr:rowOff>
    </xdr:to>
    <mc:AlternateContent xmlns:mc="http://schemas.openxmlformats.org/markup-compatibility/2006" xmlns:a14="http://schemas.microsoft.com/office/drawing/2010/main">
      <mc:Choice Requires="a14">
        <xdr:graphicFrame macro="">
          <xdr:nvGraphicFramePr>
            <xdr:cNvPr id="10" name="Clean_Branch 1">
              <a:extLst>
                <a:ext uri="{FF2B5EF4-FFF2-40B4-BE49-F238E27FC236}">
                  <a16:creationId xmlns:a16="http://schemas.microsoft.com/office/drawing/2014/main" id="{166CAA26-3C43-4ADD-BCFB-DCEEEF3827B1}"/>
                </a:ext>
              </a:extLst>
            </xdr:cNvPr>
            <xdr:cNvGraphicFramePr/>
          </xdr:nvGraphicFramePr>
          <xdr:xfrm>
            <a:off x="0" y="0"/>
            <a:ext cx="0" cy="0"/>
          </xdr:xfrm>
          <a:graphic>
            <a:graphicData uri="http://schemas.microsoft.com/office/drawing/2010/slicer">
              <sle:slicer xmlns:sle="http://schemas.microsoft.com/office/drawing/2010/slicer" name="Clean_Branch 1"/>
            </a:graphicData>
          </a:graphic>
        </xdr:graphicFrame>
      </mc:Choice>
      <mc:Fallback xmlns="">
        <xdr:sp macro="" textlink="">
          <xdr:nvSpPr>
            <xdr:cNvPr id="0" name=""/>
            <xdr:cNvSpPr>
              <a:spLocks noTextEdit="1"/>
            </xdr:cNvSpPr>
          </xdr:nvSpPr>
          <xdr:spPr>
            <a:xfrm>
              <a:off x="10123514" y="2465258"/>
              <a:ext cx="1832547" cy="1264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19</xdr:row>
      <xdr:rowOff>142875</xdr:rowOff>
    </xdr:from>
    <xdr:to>
      <xdr:col>17</xdr:col>
      <xdr:colOff>276225</xdr:colOff>
      <xdr:row>30</xdr:row>
      <xdr:rowOff>123825</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396DAF17-B1ED-4D66-8C53-2982390E849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123514" y="3843572"/>
              <a:ext cx="1832547" cy="2042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31</xdr:row>
      <xdr:rowOff>57150</xdr:rowOff>
    </xdr:from>
    <xdr:to>
      <xdr:col>17</xdr:col>
      <xdr:colOff>276225</xdr:colOff>
      <xdr:row>43</xdr:row>
      <xdr:rowOff>47624</xdr:rowOff>
    </xdr:to>
    <mc:AlternateContent xmlns:mc="http://schemas.openxmlformats.org/markup-compatibility/2006" xmlns:a14="http://schemas.microsoft.com/office/drawing/2010/main">
      <mc:Choice Requires="a14">
        <xdr:graphicFrame macro="">
          <xdr:nvGraphicFramePr>
            <xdr:cNvPr id="14" name="Membership 2">
              <a:extLst>
                <a:ext uri="{FF2B5EF4-FFF2-40B4-BE49-F238E27FC236}">
                  <a16:creationId xmlns:a16="http://schemas.microsoft.com/office/drawing/2014/main" id="{8EAB3E8A-F44B-45FD-9861-A5442BB6F650}"/>
                </a:ext>
              </a:extLst>
            </xdr:cNvPr>
            <xdr:cNvGraphicFramePr/>
          </xdr:nvGraphicFramePr>
          <xdr:xfrm>
            <a:off x="0" y="0"/>
            <a:ext cx="0" cy="0"/>
          </xdr:xfrm>
          <a:graphic>
            <a:graphicData uri="http://schemas.microsoft.com/office/drawing/2010/slicer">
              <sle:slicer xmlns:sle="http://schemas.microsoft.com/office/drawing/2010/slicer" name="Membership 2"/>
            </a:graphicData>
          </a:graphic>
        </xdr:graphicFrame>
      </mc:Choice>
      <mc:Fallback xmlns="">
        <xdr:sp macro="" textlink="">
          <xdr:nvSpPr>
            <xdr:cNvPr id="0" name=""/>
            <xdr:cNvSpPr>
              <a:spLocks noTextEdit="1"/>
            </xdr:cNvSpPr>
          </xdr:nvSpPr>
          <xdr:spPr>
            <a:xfrm>
              <a:off x="10123514" y="6006371"/>
              <a:ext cx="1832547" cy="223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93689</xdr:colOff>
      <xdr:row>4</xdr:row>
      <xdr:rowOff>130028</xdr:rowOff>
    </xdr:from>
    <xdr:to>
      <xdr:col>2</xdr:col>
      <xdr:colOff>156148</xdr:colOff>
      <xdr:row>6</xdr:row>
      <xdr:rowOff>78073</xdr:rowOff>
    </xdr:to>
    <xdr:sp macro="" textlink="">
      <xdr:nvSpPr>
        <xdr:cNvPr id="16" name="TextBox 15">
          <a:extLst>
            <a:ext uri="{FF2B5EF4-FFF2-40B4-BE49-F238E27FC236}">
              <a16:creationId xmlns:a16="http://schemas.microsoft.com/office/drawing/2014/main" id="{4709E19F-FFCC-3A87-2AA2-2B37015FCE89}"/>
            </a:ext>
          </a:extLst>
        </xdr:cNvPr>
        <xdr:cNvSpPr txBox="1"/>
      </xdr:nvSpPr>
      <xdr:spPr>
        <a:xfrm>
          <a:off x="1467787" y="879536"/>
          <a:ext cx="62459" cy="3227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bg2"/>
              </a:solidFill>
              <a:effectLst/>
              <a:latin typeface="+mn-lt"/>
              <a:ea typeface="+mn-ea"/>
              <a:cs typeface="+mn-cs"/>
            </a:rPr>
            <a:t>T</a:t>
          </a:r>
          <a:endParaRPr lang="en-IN" sz="1400" b="1">
            <a:solidFill>
              <a:schemeClr val="bg2"/>
            </a:solidFill>
          </a:endParaRPr>
        </a:p>
      </xdr:txBody>
    </xdr:sp>
    <xdr:clientData/>
  </xdr:twoCellAnchor>
  <xdr:twoCellAnchor>
    <xdr:from>
      <xdr:col>0</xdr:col>
      <xdr:colOff>619183</xdr:colOff>
      <xdr:row>4</xdr:row>
      <xdr:rowOff>81028</xdr:rowOff>
    </xdr:from>
    <xdr:to>
      <xdr:col>8</xdr:col>
      <xdr:colOff>573432</xdr:colOff>
      <xdr:row>10</xdr:row>
      <xdr:rowOff>116928</xdr:rowOff>
    </xdr:to>
    <xdr:grpSp>
      <xdr:nvGrpSpPr>
        <xdr:cNvPr id="34" name="Group 33">
          <a:extLst>
            <a:ext uri="{FF2B5EF4-FFF2-40B4-BE49-F238E27FC236}">
              <a16:creationId xmlns:a16="http://schemas.microsoft.com/office/drawing/2014/main" id="{040CFEE9-FEB7-94BD-171D-09C161244789}"/>
            </a:ext>
          </a:extLst>
        </xdr:cNvPr>
        <xdr:cNvGrpSpPr/>
      </xdr:nvGrpSpPr>
      <xdr:grpSpPr>
        <a:xfrm>
          <a:off x="619183" y="788038"/>
          <a:ext cx="5453218" cy="1096416"/>
          <a:chOff x="587952" y="929121"/>
          <a:chExt cx="5497813" cy="1077191"/>
        </a:xfrm>
      </xdr:grpSpPr>
      <xdr:sp macro="" textlink="">
        <xdr:nvSpPr>
          <xdr:cNvPr id="35" name="Rectangle: Rounded Corners 34">
            <a:extLst>
              <a:ext uri="{FF2B5EF4-FFF2-40B4-BE49-F238E27FC236}">
                <a16:creationId xmlns:a16="http://schemas.microsoft.com/office/drawing/2014/main" id="{C5D69B8C-EA80-7C16-7793-CB137ABA0E2F}"/>
              </a:ext>
            </a:extLst>
          </xdr:cNvPr>
          <xdr:cNvSpPr/>
        </xdr:nvSpPr>
        <xdr:spPr>
          <a:xfrm>
            <a:off x="587952" y="929121"/>
            <a:ext cx="2647084" cy="107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2">
        <xdr:nvSpPr>
          <xdr:cNvPr id="36" name="TextBox 35">
            <a:extLst>
              <a:ext uri="{FF2B5EF4-FFF2-40B4-BE49-F238E27FC236}">
                <a16:creationId xmlns:a16="http://schemas.microsoft.com/office/drawing/2014/main" id="{04072E6C-1D83-FEAA-2A45-EC71E0732951}"/>
              </a:ext>
            </a:extLst>
          </xdr:cNvPr>
          <xdr:cNvSpPr txBox="1"/>
        </xdr:nvSpPr>
        <xdr:spPr>
          <a:xfrm>
            <a:off x="658090" y="1229591"/>
            <a:ext cx="2507673" cy="65809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E115A6-127F-4305-906B-DC4B66A7C21C}" type="TxLink">
              <a:rPr lang="en-US" sz="2800" b="0" i="0" u="none" strike="noStrike">
                <a:solidFill>
                  <a:schemeClr val="bg2"/>
                </a:solidFill>
                <a:latin typeface="Carlito"/>
                <a:ea typeface="Calibri"/>
                <a:cs typeface="Calibri"/>
              </a:rPr>
              <a:pPr algn="ctr"/>
              <a:t>161291.9235</a:t>
            </a:fld>
            <a:endParaRPr lang="en-US" sz="2800" b="0" i="0" u="none" strike="noStrike">
              <a:solidFill>
                <a:schemeClr val="bg2"/>
              </a:solidFill>
              <a:latin typeface="Calibri"/>
              <a:ea typeface="Calibri"/>
              <a:cs typeface="Calibri"/>
            </a:endParaRPr>
          </a:p>
        </xdr:txBody>
      </xdr:sp>
      <xdr:sp macro="" textlink="">
        <xdr:nvSpPr>
          <xdr:cNvPr id="37" name="TextBox 36">
            <a:extLst>
              <a:ext uri="{FF2B5EF4-FFF2-40B4-BE49-F238E27FC236}">
                <a16:creationId xmlns:a16="http://schemas.microsoft.com/office/drawing/2014/main" id="{354C7D21-6829-FBC2-8B4A-89260ED7C8E1}"/>
              </a:ext>
            </a:extLst>
          </xdr:cNvPr>
          <xdr:cNvSpPr txBox="1"/>
        </xdr:nvSpPr>
        <xdr:spPr>
          <a:xfrm>
            <a:off x="708476" y="987534"/>
            <a:ext cx="2476500" cy="32904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bg2"/>
                </a:solidFill>
                <a:effectLst/>
                <a:latin typeface="+mn-lt"/>
                <a:ea typeface="+mn-ea"/>
                <a:cs typeface="+mn-cs"/>
              </a:rPr>
              <a:t>TOTAL SALES</a:t>
            </a:r>
            <a:r>
              <a:rPr lang="en-IN" sz="1400" b="1">
                <a:solidFill>
                  <a:schemeClr val="bg2"/>
                </a:solidFill>
                <a:effectLst/>
              </a:rPr>
              <a:t> </a:t>
            </a:r>
            <a:endParaRPr lang="en-IN" sz="1400" b="1">
              <a:solidFill>
                <a:schemeClr val="bg2"/>
              </a:solidFill>
            </a:endParaRPr>
          </a:p>
        </xdr:txBody>
      </xdr:sp>
      <xdr:sp macro="" textlink="">
        <xdr:nvSpPr>
          <xdr:cNvPr id="39" name="Rectangle: Rounded Corners 38">
            <a:extLst>
              <a:ext uri="{FF2B5EF4-FFF2-40B4-BE49-F238E27FC236}">
                <a16:creationId xmlns:a16="http://schemas.microsoft.com/office/drawing/2014/main" id="{9A14B21B-FE72-6233-C25B-A0960D76DF54}"/>
              </a:ext>
            </a:extLst>
          </xdr:cNvPr>
          <xdr:cNvSpPr/>
        </xdr:nvSpPr>
        <xdr:spPr>
          <a:xfrm>
            <a:off x="3438681" y="929121"/>
            <a:ext cx="2647084" cy="107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2"/>
                </a:solidFill>
              </a:rPr>
              <a:t>COUNT OF TRANSACTION</a:t>
            </a:r>
          </a:p>
        </xdr:txBody>
      </xdr:sp>
      <xdr:sp macro="" textlink="$F$1">
        <xdr:nvSpPr>
          <xdr:cNvPr id="40" name="TextBox 39">
            <a:extLst>
              <a:ext uri="{FF2B5EF4-FFF2-40B4-BE49-F238E27FC236}">
                <a16:creationId xmlns:a16="http://schemas.microsoft.com/office/drawing/2014/main" id="{F803A711-71F5-CEC2-F619-C37B30EC52D8}"/>
              </a:ext>
            </a:extLst>
          </xdr:cNvPr>
          <xdr:cNvSpPr txBox="1"/>
        </xdr:nvSpPr>
        <xdr:spPr>
          <a:xfrm>
            <a:off x="3508819" y="1229591"/>
            <a:ext cx="2507673" cy="65809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1005CB-31A1-4DA2-89B2-F9728E39C027}" type="TxLink">
              <a:rPr lang="en-US" sz="2800" b="0" i="0" u="none" strike="noStrike">
                <a:solidFill>
                  <a:schemeClr val="bg2"/>
                </a:solidFill>
                <a:latin typeface="Carlito"/>
              </a:rPr>
              <a:pPr algn="ctr"/>
              <a:t>196</a:t>
            </a:fld>
            <a:endParaRPr lang="en-IN" sz="2800" b="1">
              <a:solidFill>
                <a:schemeClr val="bg2"/>
              </a:solidFill>
            </a:endParaRPr>
          </a:p>
        </xdr:txBody>
      </xdr:sp>
    </xdr:grpSp>
    <xdr:clientData/>
  </xdr:twoCellAnchor>
  <xdr:twoCellAnchor>
    <xdr:from>
      <xdr:col>9</xdr:col>
      <xdr:colOff>150740</xdr:colOff>
      <xdr:row>4</xdr:row>
      <xdr:rowOff>81028</xdr:rowOff>
    </xdr:from>
    <xdr:to>
      <xdr:col>17</xdr:col>
      <xdr:colOff>104989</xdr:colOff>
      <xdr:row>10</xdr:row>
      <xdr:rowOff>116928</xdr:rowOff>
    </xdr:to>
    <xdr:grpSp>
      <xdr:nvGrpSpPr>
        <xdr:cNvPr id="41" name="Group 40">
          <a:extLst>
            <a:ext uri="{FF2B5EF4-FFF2-40B4-BE49-F238E27FC236}">
              <a16:creationId xmlns:a16="http://schemas.microsoft.com/office/drawing/2014/main" id="{DB324583-4066-16E6-4FE3-5A1E4BBEA7DD}"/>
            </a:ext>
          </a:extLst>
        </xdr:cNvPr>
        <xdr:cNvGrpSpPr/>
      </xdr:nvGrpSpPr>
      <xdr:grpSpPr>
        <a:xfrm>
          <a:off x="6337080" y="788038"/>
          <a:ext cx="5453218" cy="1096416"/>
          <a:chOff x="587952" y="929121"/>
          <a:chExt cx="5497813" cy="1077191"/>
        </a:xfrm>
      </xdr:grpSpPr>
      <xdr:sp macro="" textlink="">
        <xdr:nvSpPr>
          <xdr:cNvPr id="42" name="Rectangle: Rounded Corners 41">
            <a:extLst>
              <a:ext uri="{FF2B5EF4-FFF2-40B4-BE49-F238E27FC236}">
                <a16:creationId xmlns:a16="http://schemas.microsoft.com/office/drawing/2014/main" id="{1608FE63-89D1-E193-1ABE-5B94CF2E06CA}"/>
              </a:ext>
            </a:extLst>
          </xdr:cNvPr>
          <xdr:cNvSpPr/>
        </xdr:nvSpPr>
        <xdr:spPr>
          <a:xfrm>
            <a:off x="587952" y="929121"/>
            <a:ext cx="2647084" cy="107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H$1">
        <xdr:nvSpPr>
          <xdr:cNvPr id="43" name="TextBox 42">
            <a:extLst>
              <a:ext uri="{FF2B5EF4-FFF2-40B4-BE49-F238E27FC236}">
                <a16:creationId xmlns:a16="http://schemas.microsoft.com/office/drawing/2014/main" id="{AAD57F5F-DC74-5A77-5C62-E46335363CED}"/>
              </a:ext>
            </a:extLst>
          </xdr:cNvPr>
          <xdr:cNvSpPr txBox="1"/>
        </xdr:nvSpPr>
        <xdr:spPr>
          <a:xfrm>
            <a:off x="658090" y="1229591"/>
            <a:ext cx="2507673" cy="65809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B0E3FD-244F-470C-8104-6F847163EB2C}" type="TxLink">
              <a:rPr lang="en-US" sz="2800" b="0" i="0" u="none" strike="noStrike">
                <a:solidFill>
                  <a:schemeClr val="bg2"/>
                </a:solidFill>
                <a:latin typeface="Carlito"/>
              </a:rPr>
              <a:pPr algn="ctr"/>
              <a:t>680</a:t>
            </a:fld>
            <a:endParaRPr lang="en-IN" sz="2800" b="1">
              <a:solidFill>
                <a:schemeClr val="bg2"/>
              </a:solidFill>
            </a:endParaRPr>
          </a:p>
        </xdr:txBody>
      </xdr:sp>
      <xdr:sp macro="" textlink="">
        <xdr:nvSpPr>
          <xdr:cNvPr id="44" name="TextBox 43">
            <a:extLst>
              <a:ext uri="{FF2B5EF4-FFF2-40B4-BE49-F238E27FC236}">
                <a16:creationId xmlns:a16="http://schemas.microsoft.com/office/drawing/2014/main" id="{13C115DB-E22A-6710-CC89-4630E46332E6}"/>
              </a:ext>
            </a:extLst>
          </xdr:cNvPr>
          <xdr:cNvSpPr txBox="1"/>
        </xdr:nvSpPr>
        <xdr:spPr>
          <a:xfrm>
            <a:off x="708476" y="987534"/>
            <a:ext cx="2476500" cy="32904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2"/>
                </a:solidFill>
              </a:rPr>
              <a:t>UNITS SOLD</a:t>
            </a:r>
          </a:p>
        </xdr:txBody>
      </xdr:sp>
      <xdr:sp macro="" textlink="">
        <xdr:nvSpPr>
          <xdr:cNvPr id="45" name="Rectangle: Rounded Corners 44">
            <a:extLst>
              <a:ext uri="{FF2B5EF4-FFF2-40B4-BE49-F238E27FC236}">
                <a16:creationId xmlns:a16="http://schemas.microsoft.com/office/drawing/2014/main" id="{F136FA3C-68CE-3ECC-1584-1E1660A06505}"/>
              </a:ext>
            </a:extLst>
          </xdr:cNvPr>
          <xdr:cNvSpPr/>
        </xdr:nvSpPr>
        <xdr:spPr>
          <a:xfrm>
            <a:off x="3438681" y="929121"/>
            <a:ext cx="2647084" cy="1077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AVERAGE BASKET VALUE</a:t>
            </a:r>
          </a:p>
        </xdr:txBody>
      </xdr:sp>
      <xdr:sp macro="" textlink="$J$1">
        <xdr:nvSpPr>
          <xdr:cNvPr id="46" name="TextBox 45">
            <a:extLst>
              <a:ext uri="{FF2B5EF4-FFF2-40B4-BE49-F238E27FC236}">
                <a16:creationId xmlns:a16="http://schemas.microsoft.com/office/drawing/2014/main" id="{A7DE25AB-7210-2170-8807-AEB112333A58}"/>
              </a:ext>
            </a:extLst>
          </xdr:cNvPr>
          <xdr:cNvSpPr txBox="1"/>
        </xdr:nvSpPr>
        <xdr:spPr>
          <a:xfrm>
            <a:off x="3508819" y="1229591"/>
            <a:ext cx="2507673" cy="65809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CA60FB-550F-4A99-B0D8-EA1E040B34CD}" type="TxLink">
              <a:rPr lang="en-US" sz="2800" b="0" i="0" u="none" strike="noStrike">
                <a:solidFill>
                  <a:schemeClr val="bg2"/>
                </a:solidFill>
                <a:latin typeface="Carlito"/>
              </a:rPr>
              <a:pPr algn="ctr"/>
              <a:t>822.917977</a:t>
            </a:fld>
            <a:endParaRPr lang="en-IN" sz="2800" b="1">
              <a:solidFill>
                <a:schemeClr val="bg2"/>
              </a:solidFill>
            </a:endParaRPr>
          </a:p>
        </xdr:txBody>
      </xdr:sp>
    </xdr:grpSp>
    <xdr:clientData/>
  </xdr:twoCellAnchor>
  <xdr:twoCellAnchor>
    <xdr:from>
      <xdr:col>0</xdr:col>
      <xdr:colOff>354420</xdr:colOff>
      <xdr:row>0</xdr:row>
      <xdr:rowOff>55378</xdr:rowOff>
    </xdr:from>
    <xdr:to>
      <xdr:col>17</xdr:col>
      <xdr:colOff>332269</xdr:colOff>
      <xdr:row>2</xdr:row>
      <xdr:rowOff>170468</xdr:rowOff>
    </xdr:to>
    <xdr:sp macro="" textlink="">
      <xdr:nvSpPr>
        <xdr:cNvPr id="2" name="Rectangle: Rounded Corners 1">
          <a:extLst>
            <a:ext uri="{FF2B5EF4-FFF2-40B4-BE49-F238E27FC236}">
              <a16:creationId xmlns:a16="http://schemas.microsoft.com/office/drawing/2014/main" id="{8933E002-E593-4CCC-1C51-304128144A12}"/>
            </a:ext>
          </a:extLst>
        </xdr:cNvPr>
        <xdr:cNvSpPr/>
      </xdr:nvSpPr>
      <xdr:spPr>
        <a:xfrm>
          <a:off x="354420" y="55378"/>
          <a:ext cx="11651512" cy="4695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476249</xdr:colOff>
      <xdr:row>0</xdr:row>
      <xdr:rowOff>110757</xdr:rowOff>
    </xdr:from>
    <xdr:to>
      <xdr:col>17</xdr:col>
      <xdr:colOff>44301</xdr:colOff>
      <xdr:row>2</xdr:row>
      <xdr:rowOff>121832</xdr:rowOff>
    </xdr:to>
    <xdr:sp macro="" textlink="">
      <xdr:nvSpPr>
        <xdr:cNvPr id="3" name="TextBox 2">
          <a:extLst>
            <a:ext uri="{FF2B5EF4-FFF2-40B4-BE49-F238E27FC236}">
              <a16:creationId xmlns:a16="http://schemas.microsoft.com/office/drawing/2014/main" id="{892AC0A7-5FD7-FACF-3602-9DB5B2B5F24F}"/>
            </a:ext>
          </a:extLst>
        </xdr:cNvPr>
        <xdr:cNvSpPr txBox="1"/>
      </xdr:nvSpPr>
      <xdr:spPr>
        <a:xfrm>
          <a:off x="476249" y="110757"/>
          <a:ext cx="11241715" cy="36549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rPr>
            <a:t>LINKSKILL</a:t>
          </a:r>
          <a:r>
            <a:rPr lang="en-IN" sz="2400" baseline="0">
              <a:solidFill>
                <a:schemeClr val="bg2"/>
              </a:solidFill>
            </a:rPr>
            <a:t> GROCERY SUPERMARKET </a:t>
          </a:r>
          <a:endParaRPr lang="en-IN" sz="2400">
            <a:solidFill>
              <a:schemeClr val="bg2"/>
            </a:solidFill>
          </a:endParaRPr>
        </a:p>
      </xdr:txBody>
    </xdr:sp>
    <xdr:clientData/>
  </xdr:twoCellAnchor>
  <xdr:twoCellAnchor editAs="oneCell">
    <xdr:from>
      <xdr:col>5</xdr:col>
      <xdr:colOff>287966</xdr:colOff>
      <xdr:row>6</xdr:row>
      <xdr:rowOff>77529</xdr:rowOff>
    </xdr:from>
    <xdr:to>
      <xdr:col>5</xdr:col>
      <xdr:colOff>683966</xdr:colOff>
      <xdr:row>8</xdr:row>
      <xdr:rowOff>119111</xdr:rowOff>
    </xdr:to>
    <xdr:pic>
      <xdr:nvPicPr>
        <xdr:cNvPr id="5" name="Graphic 4" descr="Target Audience with solid fill">
          <a:extLst>
            <a:ext uri="{FF2B5EF4-FFF2-40B4-BE49-F238E27FC236}">
              <a16:creationId xmlns:a16="http://schemas.microsoft.com/office/drawing/2014/main" id="{CDF8D5D8-51BE-66EC-49AF-1D98621F6A7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21396" y="1140785"/>
          <a:ext cx="396000" cy="396000"/>
        </a:xfrm>
        <a:prstGeom prst="rect">
          <a:avLst/>
        </a:prstGeom>
      </xdr:spPr>
    </xdr:pic>
    <xdr:clientData/>
  </xdr:twoCellAnchor>
  <xdr:twoCellAnchor editAs="oneCell">
    <xdr:from>
      <xdr:col>9</xdr:col>
      <xdr:colOff>664535</xdr:colOff>
      <xdr:row>6</xdr:row>
      <xdr:rowOff>99680</xdr:rowOff>
    </xdr:from>
    <xdr:to>
      <xdr:col>10</xdr:col>
      <xdr:colOff>373849</xdr:colOff>
      <xdr:row>8</xdr:row>
      <xdr:rowOff>141262</xdr:rowOff>
    </xdr:to>
    <xdr:pic>
      <xdr:nvPicPr>
        <xdr:cNvPr id="17" name="Graphic 16" descr="Business Growth with solid fill">
          <a:extLst>
            <a:ext uri="{FF2B5EF4-FFF2-40B4-BE49-F238E27FC236}">
              <a16:creationId xmlns:a16="http://schemas.microsoft.com/office/drawing/2014/main" id="{78E7E34D-E081-C0BC-356C-F00C8472E8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44709" y="1162936"/>
          <a:ext cx="396000" cy="396000"/>
        </a:xfrm>
        <a:prstGeom prst="rect">
          <a:avLst/>
        </a:prstGeom>
      </xdr:spPr>
    </xdr:pic>
    <xdr:clientData/>
  </xdr:twoCellAnchor>
  <xdr:twoCellAnchor editAs="oneCell">
    <xdr:from>
      <xdr:col>13</xdr:col>
      <xdr:colOff>254742</xdr:colOff>
      <xdr:row>6</xdr:row>
      <xdr:rowOff>44304</xdr:rowOff>
    </xdr:from>
    <xdr:to>
      <xdr:col>13</xdr:col>
      <xdr:colOff>654961</xdr:colOff>
      <xdr:row>8</xdr:row>
      <xdr:rowOff>85886</xdr:rowOff>
    </xdr:to>
    <xdr:pic>
      <xdr:nvPicPr>
        <xdr:cNvPr id="18" name="Picture 17" descr="Profit ">
          <a:extLst>
            <a:ext uri="{FF2B5EF4-FFF2-40B4-BE49-F238E27FC236}">
              <a16:creationId xmlns:a16="http://schemas.microsoft.com/office/drawing/2014/main" id="{3D27BC77-FEB9-E0FD-3072-36EE0B268B9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181661" y="1107560"/>
          <a:ext cx="400219"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675612</xdr:colOff>
      <xdr:row>6</xdr:row>
      <xdr:rowOff>33226</xdr:rowOff>
    </xdr:from>
    <xdr:to>
      <xdr:col>1</xdr:col>
      <xdr:colOff>369650</xdr:colOff>
      <xdr:row>8</xdr:row>
      <xdr:rowOff>74808</xdr:rowOff>
    </xdr:to>
    <xdr:pic>
      <xdr:nvPicPr>
        <xdr:cNvPr id="20" name="Picture 19" descr="Shopping bag ">
          <a:extLst>
            <a:ext uri="{FF2B5EF4-FFF2-40B4-BE49-F238E27FC236}">
              <a16:creationId xmlns:a16="http://schemas.microsoft.com/office/drawing/2014/main" id="{D14E1757-FC4C-02A2-FBD5-CF81D1DA05D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75612" y="1096482"/>
          <a:ext cx="380724"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utha B" refreshedDate="46284.764654513892" createdVersion="8" refreshedVersion="8" minRefreshableVersion="3" recordCount="196" xr:uid="{A9A73FD9-7CFB-4DF0-8B77-C7C50B892391}">
  <cacheSource type="worksheet">
    <worksheetSource name="Master_Data"/>
  </cacheSource>
  <cacheFields count="32">
    <cacheField name="Transaction_ID" numFmtId="0">
      <sharedItems count="196">
        <s v="T0001"/>
        <s v="T0002"/>
        <s v="T0003"/>
        <s v="T0004"/>
        <s v="T0005"/>
        <s v="T0006"/>
        <s v="T0007"/>
        <s v="T0008"/>
        <s v="T0009"/>
        <s v="T0010"/>
        <s v="T0011"/>
        <s v="T0012"/>
        <s v="T0013"/>
        <s v="T0014"/>
        <s v="T0015"/>
        <s v="T0016"/>
        <s v="T0017"/>
        <s v="T0018"/>
        <s v="T0019"/>
        <s v="T0020"/>
        <s v="T0021"/>
        <s v="T0022"/>
        <s v="T0023"/>
        <s v="T0024"/>
        <s v="T0025"/>
        <s v="T0026"/>
        <s v="T0027"/>
        <s v="T0028"/>
        <s v="T0029"/>
        <s v="T0030"/>
        <s v="T0031"/>
        <s v="T0032"/>
        <s v="T0033"/>
        <s v="T0034"/>
        <s v="T0035"/>
        <s v="T0036"/>
        <s v="T0037"/>
        <s v="T0038"/>
        <s v="T0039"/>
        <s v="T0040"/>
        <s v="T0041"/>
        <s v="T0042"/>
        <s v="T0043"/>
        <s v="T0044"/>
        <s v="T0045"/>
        <s v="T0046"/>
        <s v="T0047"/>
        <s v="T0048"/>
        <s v="T0049"/>
        <s v="T0050"/>
        <s v="T0051"/>
        <s v="T0052"/>
        <s v="T0053"/>
        <s v="T0054"/>
        <s v="T0055"/>
        <s v="T0056"/>
        <s v="T0057"/>
        <s v="T0058"/>
        <s v="T0059"/>
        <s v="T0060"/>
        <s v="T0061"/>
        <s v="T0062"/>
        <s v="T0063"/>
        <s v="T0064"/>
        <s v="T0065"/>
        <s v="T0066"/>
        <s v="T0067"/>
        <s v="T0068"/>
        <s v="T0069"/>
        <s v="T0070"/>
        <s v="T0071"/>
        <s v="T0072"/>
        <s v="T0073"/>
        <s v="T0074"/>
        <s v="T0075"/>
        <s v="T0076"/>
        <s v="T0077"/>
        <s v="T0078"/>
        <s v="T0079"/>
        <s v="T0080"/>
        <s v="T0081"/>
        <s v="T0082"/>
        <s v="T0083"/>
        <s v="T0084"/>
        <s v="T0085"/>
        <s v="T0086"/>
        <s v="T0087"/>
        <s v="T0088"/>
        <s v="T0089"/>
        <s v="T0090"/>
        <s v="T0091"/>
        <s v="T0092"/>
        <s v="T0093"/>
        <s v="T0094"/>
        <s v="T0095"/>
        <s v="T0096"/>
        <s v="T0097"/>
        <s v="T0098"/>
        <s v="T0099"/>
        <s v="T0100"/>
        <s v="T0101"/>
        <s v="T0102"/>
        <s v="T0103"/>
        <s v="T0104"/>
        <s v="T0105"/>
        <s v="T0106"/>
        <s v="T0107"/>
        <s v="T0108"/>
        <s v="T0109"/>
        <s v="T0110"/>
        <s v="T0111"/>
        <s v="T0112"/>
        <s v="T0113"/>
        <s v="T0114"/>
        <s v="T0115"/>
        <s v="T0116"/>
        <s v="T0117"/>
        <s v="T0118"/>
        <s v="T0119"/>
        <s v="T0120"/>
        <s v="T0121"/>
        <s v="T0122"/>
        <s v="T0123"/>
        <s v="T0124"/>
        <s v="T0125"/>
        <s v="T0126"/>
        <s v="T0127"/>
        <s v="T0128"/>
        <s v="T0129"/>
        <s v="T0130"/>
        <s v="T0131"/>
        <s v="T0132"/>
        <s v="T0133"/>
        <s v="T0134"/>
        <s v="T0135"/>
        <s v="T0136"/>
        <s v="T0137"/>
        <s v="T0138"/>
        <s v="T0139"/>
        <s v="T0140"/>
        <s v="T0141"/>
        <s v="T0142"/>
        <s v="T0143"/>
        <s v="T0144"/>
        <s v="T0145"/>
        <s v="T0146"/>
        <s v="T0147"/>
        <s v="T0148"/>
        <s v="T0149"/>
        <s v="T0150"/>
        <s v="T0151"/>
        <s v="T0152"/>
        <s v="T0153"/>
        <s v="T0154"/>
        <s v="T0155"/>
        <s v="T0156"/>
        <s v="T0157"/>
        <s v="T0158"/>
        <s v="T0159"/>
        <s v="T0160"/>
        <s v="T0161"/>
        <s v="T0162"/>
        <s v="T0163"/>
        <s v="T0164"/>
        <s v="T0165"/>
        <s v="T0166"/>
        <s v="T0167"/>
        <s v="T0168"/>
        <s v="T0169"/>
        <s v="T0170"/>
        <s v="T0171"/>
        <s v="T0172"/>
        <s v="T0173"/>
        <s v="T0174"/>
        <s v="T0175"/>
        <s v="T0176"/>
        <s v="T0177"/>
        <s v="T0178"/>
        <s v="T0179"/>
        <s v="T0180"/>
        <s v="T0181"/>
        <s v="T0182"/>
        <s v="T0183"/>
        <s v="T0184"/>
        <s v="T0185"/>
        <s v="T0186"/>
        <s v="T0187"/>
        <s v="T0188"/>
        <s v="T0189"/>
        <s v="T0190"/>
        <s v="T0191"/>
        <s v="T0192"/>
        <s v="T0193"/>
        <s v="T0194"/>
        <s v="T0195"/>
        <s v="T0196"/>
      </sharedItems>
    </cacheField>
    <cacheField name="Clean_Sale_Date" numFmtId="14">
      <sharedItems containsSemiMixedTypes="0" containsNonDate="0" containsDate="1" containsString="0" minDate="2026-08-01T00:00:00" maxDate="2026-09-07T00:00:00" count="37">
        <d v="2026-09-01T00:00:00"/>
        <d v="2026-08-22T00:00:00"/>
        <d v="2026-08-14T00:00:00"/>
        <d v="2026-08-27T00:00:00"/>
        <d v="2026-08-01T00:00:00"/>
        <d v="2026-08-15T00:00:00"/>
        <d v="2026-08-11T00:00:00"/>
        <d v="2026-09-06T00:00:00"/>
        <d v="2026-08-17T00:00:00"/>
        <d v="2026-08-05T00:00:00"/>
        <d v="2026-08-10T00:00:00"/>
        <d v="2026-08-24T00:00:00"/>
        <d v="2026-08-07T00:00:00"/>
        <d v="2026-08-08T00:00:00"/>
        <d v="2026-09-02T00:00:00"/>
        <d v="2026-08-30T00:00:00"/>
        <d v="2026-09-04T00:00:00"/>
        <d v="2026-08-16T00:00:00"/>
        <d v="2026-08-25T00:00:00"/>
        <d v="2026-08-13T00:00:00"/>
        <d v="2026-09-03T00:00:00"/>
        <d v="2026-08-20T00:00:00"/>
        <d v="2026-08-09T00:00:00"/>
        <d v="2026-08-31T00:00:00"/>
        <d v="2026-08-26T00:00:00"/>
        <d v="2026-08-28T00:00:00"/>
        <d v="2026-08-29T00:00:00"/>
        <d v="2026-08-02T00:00:00"/>
        <d v="2026-08-21T00:00:00"/>
        <d v="2026-09-05T00:00:00"/>
        <d v="2026-08-06T00:00:00"/>
        <d v="2026-08-18T00:00:00"/>
        <d v="2026-08-19T00:00:00"/>
        <d v="2026-08-03T00:00:00"/>
        <d v="2026-08-23T00:00:00"/>
        <d v="2026-08-12T00:00:00"/>
        <d v="2026-08-04T00:00:00"/>
      </sharedItems>
      <fieldGroup par="31"/>
    </cacheField>
    <cacheField name="Sale_Date" numFmtId="0">
      <sharedItems/>
    </cacheField>
    <cacheField name="Customer_ID" numFmtId="0">
      <sharedItems/>
    </cacheField>
    <cacheField name=" Clean_Product_ID" numFmtId="0">
      <sharedItems/>
    </cacheField>
    <cacheField name="Product_ID" numFmtId="0">
      <sharedItems/>
    </cacheField>
    <cacheField name="Qty" numFmtId="0">
      <sharedItems containsSemiMixedTypes="0" containsString="0" containsNumber="1" containsInteger="1" minValue="1" maxValue="6"/>
    </cacheField>
    <cacheField name="Unit_Price" numFmtId="164">
      <sharedItems containsSemiMixedTypes="0" containsString="0" containsNumber="1" minValue="48.81" maxValue="521.84"/>
    </cacheField>
    <cacheField name="Discount Percentage" numFmtId="9">
      <sharedItems containsSemiMixedTypes="0" containsString="0" containsNumber="1" minValue="0" maxValue="0.15"/>
    </cacheField>
    <cacheField name="Clean_Payment_Mode" numFmtId="0">
      <sharedItems count="3">
        <s v="CASH"/>
        <s v="UPI"/>
        <s v="CARD"/>
      </sharedItems>
    </cacheField>
    <cacheField name="Payment_Mode" numFmtId="0">
      <sharedItems/>
    </cacheField>
    <cacheField name="Clean_Branch" numFmtId="0">
      <sharedItems count="3">
        <s v="Fairlands"/>
        <s v="Hasthampatti"/>
        <s v="Suramangalam"/>
      </sharedItems>
    </cacheField>
    <cacheField name="Branch" numFmtId="0">
      <sharedItems/>
    </cacheField>
    <cacheField name="Cashier" numFmtId="0">
      <sharedItems/>
    </cacheField>
    <cacheField name="Entered_Category" numFmtId="0">
      <sharedItems/>
    </cacheField>
    <cacheField name="Product_Name" numFmtId="0">
      <sharedItems count="30">
        <s v="Curd 500g"/>
        <s v="Tissue Roll"/>
        <s v="Mixture 250g"/>
        <s v="Butter 100g"/>
        <s v="Biscuits Pack"/>
        <s v="Rice 5kg"/>
        <s v="Cheese Slices"/>
        <s v="Toor Dal 1kg"/>
        <s v="Coffee 200g"/>
        <s v="Sugar 1kg"/>
        <s v="Tea 250g"/>
        <s v="Shampoo 180ml"/>
        <s v="Cola 750ml"/>
        <s v="Chocolate Bar"/>
        <s v="Garbage Bags"/>
        <s v="Paneer 200g"/>
        <s v="Dishwash Liquid"/>
        <s v="Orange Juice 1L"/>
        <s v="Floor Cleaner 1L"/>
        <s v="Mineral Water 1L"/>
        <s v="Bath Soap"/>
        <s v="Handwash 250ml"/>
        <s v="Detergent 1kg"/>
        <s v="Urad Dal 1kg"/>
        <s v="Banana Chips"/>
        <s v="Toothpaste 150g"/>
        <s v="Wheat Flour 5kg"/>
        <s v="Potato Chips"/>
        <s v="Salt 1kg"/>
        <s v="Milk 1L"/>
      </sharedItems>
    </cacheField>
    <cacheField name="Category" numFmtId="0">
      <sharedItems count="6">
        <s v="Dairy"/>
        <s v="Household"/>
        <s v="Snacks"/>
        <s v="Staples"/>
        <s v="Beverages"/>
        <s v="Personal Care"/>
      </sharedItems>
    </cacheField>
    <cacheField name="Brand" numFmtId="0">
      <sharedItems/>
    </cacheField>
    <cacheField name="Cost_Price" numFmtId="0">
      <sharedItems containsSemiMixedTypes="0" containsString="0" containsNumber="1" minValue="43.54" maxValue="414.06"/>
    </cacheField>
    <cacheField name="MRP" numFmtId="0">
      <sharedItems containsSemiMixedTypes="0" containsString="0" containsNumber="1" minValue="52.59" maxValue="545.20000000000005"/>
    </cacheField>
    <cacheField name="Supplier" numFmtId="0">
      <sharedItems/>
    </cacheField>
    <cacheField name="Customer_Name" numFmtId="0">
      <sharedItems/>
    </cacheField>
    <cacheField name="Gender" numFmtId="0">
      <sharedItems/>
    </cacheField>
    <cacheField name="Age" numFmtId="0">
      <sharedItems containsMixedTypes="1" containsNumber="1" containsInteger="1" minValue="19" maxValue="68"/>
    </cacheField>
    <cacheField name="City" numFmtId="0">
      <sharedItems/>
    </cacheField>
    <cacheField name="Membership" numFmtId="0">
      <sharedItems count="4">
        <s v="Regular"/>
        <s v="Silver"/>
        <s v="Gold"/>
        <s v="Guest"/>
      </sharedItems>
    </cacheField>
    <cacheField name="Join_Date" numFmtId="14">
      <sharedItems containsDate="1" containsMixedTypes="1" minDate="2025-01-26T00:00:00" maxDate="2026-08-22T00:00:00"/>
    </cacheField>
    <cacheField name="Gross_ Sales" numFmtId="0">
      <sharedItems containsSemiMixedTypes="0" containsString="0" containsNumber="1" minValue="49.41" maxValue="2930.16"/>
    </cacheField>
    <cacheField name="Net_Sales" numFmtId="0">
      <sharedItems containsSemiMixedTypes="0" containsString="0" containsNumber="1" minValue="44.469000000000001" maxValue="2783.6519999999996" count="196">
        <n v="1174.8104999999998"/>
        <n v="687.95"/>
        <n v="1960.8759999999997"/>
        <n v="739.35"/>
        <n v="1656.3439999999998"/>
        <n v="1381.65"/>
        <n v="295.27199999999999"/>
        <n v="300.79000000000002"/>
        <n v="944.74"/>
        <n v="955.11599999999999"/>
        <n v="58.16"/>
        <n v="1373.4359999999999"/>
        <n v="1926.7375"/>
        <n v="852.52049999999997"/>
        <n v="701.81100000000004"/>
        <n v="346.86399999999998"/>
        <n v="463.58100000000002"/>
        <n v="1317.7440000000001"/>
        <n v="632.63799999999992"/>
        <n v="325.10900000000004"/>
        <n v="1223.8"/>
        <n v="365"/>
        <n v="2480.8679999999999"/>
        <n v="259.66000000000003"/>
        <n v="970.23249999999996"/>
        <n v="1055.4449999999997"/>
        <n v="232.91699999999997"/>
        <n v="435.14"/>
        <n v="681.2"/>
        <n v="195.24"/>
        <n v="985.12"/>
        <n v="1396.8000000000002"/>
        <n v="442.00649999999996"/>
        <n v="1107.1679999999999"/>
        <n v="374.39949999999999"/>
        <n v="486.68400000000003"/>
        <n v="701.35"/>
        <n v="215.9"/>
        <n v="468.3"/>
        <n v="1944.8549999999998"/>
        <n v="2519.8200000000002"/>
        <n v="383.05249999999995"/>
        <n v="2570.346"/>
        <n v="359.21000000000004"/>
        <n v="1333.876"/>
        <n v="225.81100000000001"/>
        <n v="155.28"/>
        <n v="251.64999999999998"/>
        <n v="138.43799999999999"/>
        <n v="1799.6999999999998"/>
        <n v="893.84"/>
        <n v="422.15999999999997"/>
        <n v="412.30799999999999"/>
        <n v="752.4"/>
        <n v="1829.7474999999999"/>
        <n v="2301.6124999999997"/>
        <n v="203.31899999999999"/>
        <n v="727.20600000000002"/>
        <n v="494.95"/>
        <n v="109.88"/>
        <n v="2783.6519999999996"/>
        <n v="362.81399999999996"/>
        <n v="1292.52"/>
        <n v="466"/>
        <n v="2273.1000000000004"/>
        <n v="220.75200000000001"/>
        <n v="392.50199999999995"/>
        <n v="492.39"/>
        <n v="837.95699999999988"/>
        <n v="1155.03"/>
        <n v="2270.46"/>
        <n v="542.34"/>
        <n v="1104.4050000000002"/>
        <n v="1033.28"/>
        <n v="579.4"/>
        <n v="133.64599999999999"/>
        <n v="658.73299999999995"/>
        <n v="928.36800000000005"/>
        <n v="646.43999999999994"/>
        <n v="632.38499999999999"/>
        <n v="427.11"/>
        <n v="118.59300000000002"/>
        <n v="880.13699999999994"/>
        <n v="544.16"/>
        <n v="324.77999999999997"/>
        <n v="303.71999999999997"/>
        <n v="789.08999999999992"/>
        <n v="758.96"/>
        <n v="94.572000000000003"/>
        <n v="913.31999999999994"/>
        <n v="244.87199999999999"/>
        <n v="636.18000000000006"/>
        <n v="1534.7249999999999"/>
        <n v="401.05200000000002"/>
        <n v="841.38"/>
        <n v="1777.356"/>
        <n v="1326.7139999999999"/>
        <n v="268.94499999999999"/>
        <n v="2508.192"/>
        <n v="233.58849999999998"/>
        <n v="1579.8525"/>
        <n v="2013.66"/>
        <n v="539.88499999999988"/>
        <n v="386.40299999999996"/>
        <n v="2690.82"/>
        <n v="1363.9499999999998"/>
        <n v="928.37999999999988"/>
        <n v="459.65999999999997"/>
        <n v="233.19000000000003"/>
        <n v="465.57599999999996"/>
        <n v="1400.9019999999998"/>
        <n v="372.19499999999999"/>
        <n v="432.98"/>
        <n v="912.99600000000009"/>
        <n v="301.6395"/>
        <n v="750.92399999999998"/>
        <n v="107.97"/>
        <n v="44.469000000000001"/>
        <n v="2506.5"/>
        <n v="604.94000000000005"/>
        <n v="990.08999999999992"/>
        <n v="204.44399999999999"/>
        <n v="165.89999999999998"/>
        <n v="400.32"/>
        <n v="977.69999999999993"/>
        <n v="1631.2774999999999"/>
        <n v="1746.12"/>
        <n v="93.109000000000009"/>
        <n v="669.96"/>
        <n v="337.02"/>
        <n v="835.05599999999993"/>
        <n v="1128.1965"/>
        <n v="936.28"/>
        <n v="491.04"/>
        <n v="825.56"/>
        <n v="979.83"/>
        <n v="171.7"/>
        <n v="2471.6909999999998"/>
        <n v="1370.8215"/>
        <n v="585.17099999999994"/>
        <n v="900.1"/>
        <n v="831.78"/>
        <n v="657.30499999999995"/>
        <n v="1030.2840000000001"/>
        <n v="456.03"/>
        <n v="393.2715"/>
        <n v="285.33999999999997"/>
        <n v="395.40000000000003"/>
        <n v="543.32000000000005"/>
        <n v="1009.7460000000001"/>
        <n v="710.58"/>
        <n v="1334.1324999999999"/>
        <n v="147.1"/>
        <n v="341.34300000000002"/>
        <n v="413.25"/>
        <n v="338.27"/>
        <n v="779.52"/>
        <n v="761.976"/>
        <n v="1010.0160000000001"/>
        <n v="876.28"/>
        <n v="802.90000000000009"/>
        <n v="428.35500000000002"/>
        <n v="191.45400000000001"/>
        <n v="2680.32"/>
        <n v="499.4"/>
        <n v="191.81700000000001"/>
        <n v="123.651"/>
        <n v="646.29"/>
        <n v="318.48649999999998"/>
        <n v="1386.75"/>
        <n v="481.75"/>
        <n v="995.84100000000001"/>
        <n v="571.48200000000008"/>
        <n v="2606.8379999999997"/>
        <n v="1708.75"/>
        <n v="654.25"/>
        <n v="440.04"/>
        <n v="172.5"/>
        <n v="562.14"/>
        <n v="818.22"/>
        <n v="48.407499999999999"/>
        <n v="1520.019"/>
        <n v="2087.36"/>
        <n v="157.47"/>
        <n v="154.66"/>
        <n v="250.7"/>
        <n v="893.15199999999993"/>
        <n v="517.79999999999995"/>
        <n v="1451.29"/>
        <n v="50.2"/>
        <n v="104.54"/>
        <n v="1196.08"/>
        <n v="533.28"/>
        <n v="1170.28"/>
        <n v="286.416"/>
        <n v="530"/>
      </sharedItems>
    </cacheField>
    <cacheField name="Profit" numFmtId="0">
      <sharedItems containsSemiMixedTypes="0" containsString="0" containsNumber="1" minValue="-69.91599999999994" maxValue="600.66000000000031"/>
    </cacheField>
    <cacheField name="Days (Clean_Sale_Date)" numFmtId="0" databaseField="0">
      <fieldGroup base="1">
        <rangePr groupBy="days" startDate="2026-08-01T00:00:00" endDate="2026-09-07T00:00:00"/>
        <groupItems count="368">
          <s v="&lt;01-08-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6"/>
        </groupItems>
      </fieldGroup>
    </cacheField>
    <cacheField name="Months (Clean_Sale_Date)" numFmtId="0" databaseField="0">
      <fieldGroup base="1">
        <rangePr groupBy="months" startDate="2026-08-01T00:00:00" endDate="2026-09-07T00:00:00"/>
        <groupItems count="14">
          <s v="&lt;01-08-2026"/>
          <s v="Jan"/>
          <s v="Feb"/>
          <s v="Mar"/>
          <s v="Apr"/>
          <s v="May"/>
          <s v="Jun"/>
          <s v="Jul"/>
          <s v="Aug"/>
          <s v="Sep"/>
          <s v="Oct"/>
          <s v="Nov"/>
          <s v="Dec"/>
          <s v="&gt;07-09-2026"/>
        </groupItems>
      </fieldGroup>
    </cacheField>
  </cacheFields>
  <extLst>
    <ext xmlns:x14="http://schemas.microsoft.com/office/spreadsheetml/2009/9/main" uri="{725AE2AE-9491-48be-B2B4-4EB974FC3084}">
      <x14:pivotCacheDefinition pivotCacheId="16303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x v="0"/>
    <s v="01-Sep-2026"/>
    <s v="C041"/>
    <s v="P1008"/>
    <s v="P1008"/>
    <n v="3"/>
    <n v="460.71"/>
    <n v="0.15"/>
    <x v="0"/>
    <s v="Cash"/>
    <x v="0"/>
    <s v="Fairlands"/>
    <s v="Charan"/>
    <s v="Dairy"/>
    <x v="0"/>
    <x v="0"/>
    <s v="Aavin"/>
    <n v="402.8"/>
    <n v="482.32"/>
    <s v="FreshLine Traders"/>
    <s v="Divya R"/>
    <s v="Female"/>
    <n v="20"/>
    <s v="Coimbatore"/>
    <x v="0"/>
    <d v="2026-04-17T00:00:00"/>
    <n v="1382.1299999999999"/>
    <x v="0"/>
    <n v="-33.589500000000271"/>
  </r>
  <r>
    <x v="1"/>
    <x v="1"/>
    <s v="22-Aug-2026"/>
    <s v="C021"/>
    <s v="P1029"/>
    <s v="P1029"/>
    <n v="5"/>
    <n v="137.59"/>
    <n v="0"/>
    <x v="1"/>
    <s v="UPI"/>
    <x v="1"/>
    <s v="Hasthampatti"/>
    <s v="Bala"/>
    <s v="Household"/>
    <x v="1"/>
    <x v="1"/>
    <s v="Aachi"/>
    <n v="119.07"/>
    <n v="148.51"/>
    <s v="Salem Wholesale Mart"/>
    <s v="Gayathri Kumar"/>
    <s v="Female"/>
    <n v="21"/>
    <s v="Salem"/>
    <x v="1"/>
    <d v="2026-05-30T00:00:00"/>
    <n v="687.95"/>
    <x v="1"/>
    <n v="92.600000000000136"/>
  </r>
  <r>
    <x v="2"/>
    <x v="2"/>
    <s v="14-Aug-2026"/>
    <s v="C005"/>
    <s v="P1014"/>
    <s v="P1014"/>
    <n v="4"/>
    <n v="516.02"/>
    <n v="0.05"/>
    <x v="0"/>
    <s v="Cash"/>
    <x v="0"/>
    <s v="Fairlands"/>
    <s v="Bala"/>
    <s v="Snacks"/>
    <x v="2"/>
    <x v="2"/>
    <s v="Aavin"/>
    <n v="414.06"/>
    <n v="545.20000000000005"/>
    <s v="FreshLine Traders"/>
    <s v="Anitha M"/>
    <s v="Male"/>
    <n v="33"/>
    <s v="Dharmapuri"/>
    <x v="2"/>
    <d v="2025-03-29T00:00:00"/>
    <n v="2064.08"/>
    <x v="2"/>
    <n v="304.63599999999974"/>
  </r>
  <r>
    <x v="3"/>
    <x v="3"/>
    <s v="27-Aug-2026"/>
    <s v="C025"/>
    <s v="P1029"/>
    <s v="P1029"/>
    <n v="5"/>
    <n v="147.87"/>
    <n v="0"/>
    <x v="2"/>
    <s v="Card"/>
    <x v="1"/>
    <s v="Hasthampatti"/>
    <s v="Divya"/>
    <s v="Household"/>
    <x v="1"/>
    <x v="1"/>
    <s v="Aachi"/>
    <n v="119.07"/>
    <n v="148.51"/>
    <s v="Salem Wholesale Mart"/>
    <s v="Surya Priyan"/>
    <s v="Female"/>
    <n v="34"/>
    <s v="Erode"/>
    <x v="1"/>
    <d v="2025-11-18T00:00:00"/>
    <n v="739.35"/>
    <x v="3"/>
    <n v="144.00000000000011"/>
  </r>
  <r>
    <x v="4"/>
    <x v="4"/>
    <s v="01-Aug-2026"/>
    <s v="C023"/>
    <s v="P1010"/>
    <s v="P1010"/>
    <n v="4"/>
    <n v="435.88"/>
    <n v="0.05"/>
    <x v="2"/>
    <s v="Card"/>
    <x v="2"/>
    <s v="Suramangalam"/>
    <s v="Ezhil"/>
    <s v="Dairy"/>
    <x v="3"/>
    <x v="0"/>
    <s v="Cavin's"/>
    <n v="342.47"/>
    <n v="441.05"/>
    <s v="Salem Wholesale Mart"/>
    <s v="Janani R"/>
    <s v="Male"/>
    <n v="43"/>
    <s v="Salem"/>
    <x v="2"/>
    <d v="2026-08-07T00:00:00"/>
    <n v="1743.52"/>
    <x v="4"/>
    <n v="286.46399999999971"/>
  </r>
  <r>
    <x v="5"/>
    <x v="5"/>
    <s v="15-Aug-2026"/>
    <s v="C032"/>
    <s v="P1008"/>
    <s v="P1008"/>
    <n v="3"/>
    <n v="460.55"/>
    <n v="0"/>
    <x v="0"/>
    <s v="Cash"/>
    <x v="1"/>
    <s v="Hasthampatti"/>
    <s v="Divya"/>
    <s v="Dairy"/>
    <x v="0"/>
    <x v="0"/>
    <s v="Aavin"/>
    <n v="402.8"/>
    <n v="482.32"/>
    <s v="FreshLine Traders"/>
    <s v="Anitha Shree"/>
    <s v="Male"/>
    <n v="63"/>
    <s v="Namakkal"/>
    <x v="0"/>
    <d v="2025-09-28T00:00:00"/>
    <n v="1381.65"/>
    <x v="5"/>
    <n v="173.25"/>
  </r>
  <r>
    <x v="6"/>
    <x v="6"/>
    <s v="11/08/2026"/>
    <s v="C054"/>
    <s v="P1015"/>
    <s v="P1015"/>
    <n v="2"/>
    <n v="164.04"/>
    <n v="0.1"/>
    <x v="1"/>
    <s v="UPI"/>
    <x v="1"/>
    <s v="Hasthampatti"/>
    <s v="Ezhil"/>
    <s v="Snacks"/>
    <x v="4"/>
    <x v="2"/>
    <s v="HUL"/>
    <n v="129.75"/>
    <n v="164.29"/>
    <s v="Kongu Distributors"/>
    <s v="Naveen S"/>
    <s v="Male"/>
    <n v="20"/>
    <s v="Erode"/>
    <x v="2"/>
    <d v="2025-03-16T00:00:00"/>
    <n v="328.08"/>
    <x v="6"/>
    <n v="35.771999999999991"/>
  </r>
  <r>
    <x v="7"/>
    <x v="7"/>
    <s v="06-Sep-2026"/>
    <s v="C043"/>
    <s v="P1001"/>
    <s v="P1001"/>
    <n v="1"/>
    <n v="300.79000000000002"/>
    <n v="0"/>
    <x v="0"/>
    <s v="Cash"/>
    <x v="0"/>
    <s v="Fairlands"/>
    <s v="Asha"/>
    <s v="Staples"/>
    <x v="5"/>
    <x v="3"/>
    <s v="Nestle"/>
    <n v="275.05"/>
    <n v="309.64"/>
    <s v="Kongu Distributors"/>
    <s v="Harish Raj"/>
    <s v="Male"/>
    <n v="67"/>
    <s v="Namakkal"/>
    <x v="0"/>
    <d v="2026-06-06T00:00:00"/>
    <n v="300.79000000000002"/>
    <x v="7"/>
    <n v="25.740000000000009"/>
  </r>
  <r>
    <x v="8"/>
    <x v="8"/>
    <s v="17-Aug-2026"/>
    <s v="C025"/>
    <s v="P1011"/>
    <s v="P1011"/>
    <n v="2"/>
    <n v="472.37"/>
    <n v="0"/>
    <x v="0"/>
    <s v="Cash"/>
    <x v="1"/>
    <s v="Hasthampatti"/>
    <s v="Divya"/>
    <s v="Dairy"/>
    <x v="6"/>
    <x v="0"/>
    <s v="Cavin's"/>
    <n v="409.19"/>
    <n v="493.92"/>
    <s v="Metro Supply Co"/>
    <s v="Surya Priyan"/>
    <s v="Female"/>
    <n v="34"/>
    <s v="Erode"/>
    <x v="1"/>
    <d v="2025-11-18T00:00:00"/>
    <n v="944.74"/>
    <x v="8"/>
    <n v="126.36000000000001"/>
  </r>
  <r>
    <x v="9"/>
    <x v="8"/>
    <s v="17-Aug-2026"/>
    <s v="C054"/>
    <s v="P1003"/>
    <s v="P1003"/>
    <n v="4"/>
    <n v="265.31"/>
    <n v="0.1"/>
    <x v="1"/>
    <s v="UPI"/>
    <x v="1"/>
    <s v="Hasthampatti"/>
    <s v="Bala"/>
    <s v="Staples"/>
    <x v="7"/>
    <x v="3"/>
    <s v="Aavin"/>
    <n v="255.38"/>
    <n v="287.89"/>
    <s v="Kongu Distributors"/>
    <s v="Naveen S"/>
    <s v="Male"/>
    <n v="20"/>
    <s v="Erode"/>
    <x v="2"/>
    <d v="2025-03-16T00:00:00"/>
    <n v="1061.24"/>
    <x v="9"/>
    <n v="-66.403999999999996"/>
  </r>
  <r>
    <x v="10"/>
    <x v="9"/>
    <s v="05-Aug-2026"/>
    <s v="C050"/>
    <s v="P1021"/>
    <s v="P1021"/>
    <n v="1"/>
    <n v="58.16"/>
    <n v="0"/>
    <x v="1"/>
    <s v="UPI"/>
    <x v="0"/>
    <s v="Fairlands"/>
    <s v="Ezhil"/>
    <s v="Beverages"/>
    <x v="8"/>
    <x v="4"/>
    <s v="Surf"/>
    <n v="44.61"/>
    <n v="59.33"/>
    <s v="Metro Supply Co"/>
    <s v="Divya Shree"/>
    <s v="Female"/>
    <n v="43"/>
    <s v="Dharmapuri"/>
    <x v="1"/>
    <d v="2025-11-08T00:00:00"/>
    <n v="58.16"/>
    <x v="10"/>
    <n v="13.549999999999997"/>
  </r>
  <r>
    <x v="11"/>
    <x v="10"/>
    <s v="10-Aug-2026"/>
    <s v="C016"/>
    <s v="P1005"/>
    <s v="P1005"/>
    <n v="4"/>
    <n v="381.51"/>
    <n v="0.1"/>
    <x v="1"/>
    <s v="UPI"/>
    <x v="1"/>
    <s v="Hasthampatti"/>
    <s v="Charan"/>
    <s v="Staples"/>
    <x v="9"/>
    <x v="3"/>
    <s v="ITC"/>
    <n v="305.83999999999997"/>
    <n v="391.87"/>
    <s v="Kongu Distributors"/>
    <s v="Sanjay Babu"/>
    <s v="Male"/>
    <n v="22"/>
    <s v="Coimbatore"/>
    <x v="1"/>
    <d v="2026-07-18T00:00:00"/>
    <n v="1526.04"/>
    <x v="11"/>
    <n v="150.07600000000002"/>
  </r>
  <r>
    <x v="12"/>
    <x v="11"/>
    <s v="24-Aug-2026"/>
    <s v="C011"/>
    <s v="P1020"/>
    <s v="P1020"/>
    <n v="5"/>
    <n v="453.35"/>
    <n v="0.15"/>
    <x v="1"/>
    <s v="UPI"/>
    <x v="0"/>
    <s v="Fairlands"/>
    <s v="Charan"/>
    <s v="Beverages"/>
    <x v="10"/>
    <x v="4"/>
    <s v="ITC"/>
    <n v="348.36"/>
    <n v="454.67"/>
    <s v="Metro Supply Co"/>
    <s v="Meena Priyan"/>
    <s v="Male"/>
    <n v="35"/>
    <s v="Karur"/>
    <x v="0"/>
    <d v="2026-07-07T00:00:00"/>
    <n v="2266.75"/>
    <x v="12"/>
    <n v="184.93749999999977"/>
  </r>
  <r>
    <x v="13"/>
    <x v="12"/>
    <s v="07-Aug-2026"/>
    <s v="C038"/>
    <s v="P1001"/>
    <s v="P1001"/>
    <n v="3"/>
    <n v="299.13"/>
    <n v="0.05"/>
    <x v="0"/>
    <s v="Cash"/>
    <x v="2"/>
    <s v="Suramangalam"/>
    <s v="Bala"/>
    <s v="Staples"/>
    <x v="5"/>
    <x v="3"/>
    <s v="Nestle"/>
    <n v="275.05"/>
    <n v="309.64"/>
    <s v="Kongu Distributors"/>
    <s v="Keerthi R"/>
    <s v="Female"/>
    <n v="67"/>
    <s v="Dharmapuri"/>
    <x v="2"/>
    <d v="2026-02-21T00:00:00"/>
    <n v="897.39"/>
    <x v="13"/>
    <n v="27.370499999999879"/>
  </r>
  <r>
    <x v="14"/>
    <x v="9"/>
    <s v="05-Aug-2026"/>
    <s v="C038"/>
    <s v="P1023"/>
    <s v="P1023"/>
    <n v="6"/>
    <n v="137.61000000000001"/>
    <n v="0.15"/>
    <x v="0"/>
    <s v="Cash"/>
    <x v="2"/>
    <s v="Suramangalam"/>
    <s v="Ezhil"/>
    <s v="Personal Care"/>
    <x v="11"/>
    <x v="5"/>
    <s v="Cavin's"/>
    <n v="124.48"/>
    <n v="146.47999999999999"/>
    <s v="Sri Ganesh Agencies"/>
    <s v="Keerthi R"/>
    <s v="Female"/>
    <n v="67"/>
    <s v="Dharmapuri"/>
    <x v="2"/>
    <d v="2026-02-21T00:00:00"/>
    <n v="825.66000000000008"/>
    <x v="14"/>
    <n v="-45.06899999999996"/>
  </r>
  <r>
    <x v="15"/>
    <x v="13"/>
    <s v="08-Aug-2026"/>
    <s v="C051"/>
    <s v="P1019"/>
    <s v="P1019"/>
    <n v="1"/>
    <n v="365.12"/>
    <n v="0.05"/>
    <x v="2"/>
    <s v="Card"/>
    <x v="1"/>
    <s v="Hasthampatti"/>
    <s v="Asha"/>
    <s v="Beverages"/>
    <x v="12"/>
    <x v="4"/>
    <s v="Aachi"/>
    <n v="293.20999999999998"/>
    <n v="385.24"/>
    <s v="Kongu Distributors"/>
    <s v="Anitha M"/>
    <s v="Female"/>
    <n v="68"/>
    <s v="Dharmapuri"/>
    <x v="1"/>
    <d v="2025-11-26T00:00:00"/>
    <n v="365.12"/>
    <x v="15"/>
    <n v="53.653999999999996"/>
  </r>
  <r>
    <x v="16"/>
    <x v="14"/>
    <s v="02-Sep-2026"/>
    <s v="C042"/>
    <s v="P1011"/>
    <s v="P1011"/>
    <n v="1"/>
    <n v="487.98"/>
    <n v="0.05"/>
    <x v="1"/>
    <s v="UPI"/>
    <x v="1"/>
    <s v="Hasthampatti"/>
    <s v="Charan"/>
    <s v="Dairy"/>
    <x v="6"/>
    <x v="0"/>
    <s v="Cavin's"/>
    <n v="409.19"/>
    <n v="493.92"/>
    <s v="Metro Supply Co"/>
    <s v="Deepa Raj"/>
    <s v="Male"/>
    <n v="32"/>
    <s v="Salem"/>
    <x v="1"/>
    <d v="2026-02-13T00:00:00"/>
    <n v="487.98"/>
    <x v="16"/>
    <n v="54.39100000000002"/>
  </r>
  <r>
    <x v="17"/>
    <x v="15"/>
    <s v="2026-08-30"/>
    <s v="C046"/>
    <s v="P1005"/>
    <s v="P1005"/>
    <n v="4"/>
    <n v="366.04"/>
    <n v="0.1"/>
    <x v="2"/>
    <s v="Card"/>
    <x v="1"/>
    <s v="Hasthampatti"/>
    <s v="Ezhil"/>
    <s v="Staples"/>
    <x v="9"/>
    <x v="3"/>
    <s v="ITC"/>
    <n v="305.83999999999997"/>
    <n v="391.87"/>
    <s v="Kongu Distributors"/>
    <s v="Harish Selvam"/>
    <s v="Male"/>
    <n v="42"/>
    <s v="Dharmapuri"/>
    <x v="0"/>
    <d v="2025-02-15T00:00:00"/>
    <n v="1464.16"/>
    <x v="17"/>
    <n v="94.384000000000242"/>
  </r>
  <r>
    <x v="18"/>
    <x v="16"/>
    <s v="04-Sep-2026"/>
    <s v="C050"/>
    <s v="P1016"/>
    <s v="P1016"/>
    <n v="4"/>
    <n v="186.07"/>
    <n v="0.15"/>
    <x v="2"/>
    <s v="Card"/>
    <x v="1"/>
    <s v="Hasthampatti"/>
    <s v="Charan"/>
    <s v="Snacks"/>
    <x v="13"/>
    <x v="2"/>
    <s v="Nestle"/>
    <n v="166.81"/>
    <n v="194.87"/>
    <s v="Salem Wholesale Mart"/>
    <s v="Divya Shree"/>
    <s v="Female"/>
    <n v="43"/>
    <s v="Dharmapuri"/>
    <x v="1"/>
    <d v="2025-11-08T00:00:00"/>
    <n v="744.28"/>
    <x v="18"/>
    <n v="-34.602000000000089"/>
  </r>
  <r>
    <x v="19"/>
    <x v="17"/>
    <s v="16-Aug-2026"/>
    <s v="C054"/>
    <s v="P1030"/>
    <s v="P1030"/>
    <n v="1"/>
    <n v="342.22"/>
    <n v="0.05"/>
    <x v="1"/>
    <s v="UPI"/>
    <x v="1"/>
    <s v="Hasthampatti"/>
    <s v="Ezhil"/>
    <s v="Household"/>
    <x v="14"/>
    <x v="1"/>
    <s v="Nestle"/>
    <n v="292.05"/>
    <n v="363.17"/>
    <s v="Metro Supply Co"/>
    <s v="Naveen S"/>
    <s v="Male"/>
    <n v="20"/>
    <s v="Erode"/>
    <x v="2"/>
    <d v="2025-03-16T00:00:00"/>
    <n v="342.22"/>
    <x v="19"/>
    <n v="33.059000000000026"/>
  </r>
  <r>
    <x v="20"/>
    <x v="18"/>
    <s v="25-Aug-2026"/>
    <s v="C022"/>
    <s v="P1001"/>
    <s v="P1001"/>
    <n v="4"/>
    <n v="305.95"/>
    <n v="0"/>
    <x v="0"/>
    <s v="Cash"/>
    <x v="0"/>
    <s v="Fairlands"/>
    <s v="Charan"/>
    <s v="Staples"/>
    <x v="5"/>
    <x v="3"/>
    <s v="Nestle"/>
    <n v="275.05"/>
    <n v="309.64"/>
    <s v="Kongu Distributors"/>
    <s v="Praveen S"/>
    <s v="Male"/>
    <n v="50"/>
    <s v="Salem"/>
    <x v="2"/>
    <d v="2025-03-12T00:00:00"/>
    <n v="1223.8"/>
    <x v="20"/>
    <n v="123.59999999999991"/>
  </r>
  <r>
    <x v="21"/>
    <x v="8"/>
    <s v="17-Aug-2026"/>
    <s v="C022"/>
    <s v="P1009"/>
    <s v="P1009"/>
    <n v="5"/>
    <n v="73"/>
    <n v="0"/>
    <x v="2"/>
    <s v="Card"/>
    <x v="0"/>
    <s v="Fairlands"/>
    <s v="Ezhil"/>
    <s v="Dairy"/>
    <x v="15"/>
    <x v="0"/>
    <s v="Surf"/>
    <n v="56.88"/>
    <n v="74.790000000000006"/>
    <s v="Metro Supply Co"/>
    <s v="Praveen S"/>
    <s v="Male"/>
    <n v="50"/>
    <s v="Salem"/>
    <x v="2"/>
    <d v="2025-03-12T00:00:00"/>
    <n v="365"/>
    <x v="21"/>
    <n v="80.599999999999966"/>
  </r>
  <r>
    <x v="22"/>
    <x v="19"/>
    <s v="13-Aug-2026"/>
    <s v="C006"/>
    <s v="P1008"/>
    <s v="P1008"/>
    <n v="6"/>
    <n v="459.42"/>
    <n v="0.1"/>
    <x v="1"/>
    <s v="UPI"/>
    <x v="2"/>
    <s v="Suramangalam"/>
    <s v="Divya"/>
    <s v="Dairy"/>
    <x v="0"/>
    <x v="0"/>
    <s v="Aavin"/>
    <n v="402.8"/>
    <n v="482.32"/>
    <s v="FreshLine Traders"/>
    <s v="Nithya R"/>
    <s v="Male"/>
    <n v="26"/>
    <s v="Karur"/>
    <x v="0"/>
    <d v="2026-07-17T00:00:00"/>
    <n v="2756.52"/>
    <x v="22"/>
    <n v="64.067999999999756"/>
  </r>
  <r>
    <x v="23"/>
    <x v="0"/>
    <s v="01-Sep-2026"/>
    <s v="C029"/>
    <s v="P1026"/>
    <s v="P1026"/>
    <n v="1"/>
    <n v="259.66000000000003"/>
    <n v="0"/>
    <x v="0"/>
    <s v="Cash"/>
    <x v="2"/>
    <s v="Suramangalam"/>
    <s v="Bala"/>
    <s v="Snacks"/>
    <x v="16"/>
    <x v="1"/>
    <s v="Aavin"/>
    <n v="216.39"/>
    <n v="279.97000000000003"/>
    <s v="Kongu Distributors"/>
    <s v="Meena M"/>
    <s v="Female"/>
    <n v="36"/>
    <s v="Erode"/>
    <x v="0"/>
    <d v="2026-07-11T00:00:00"/>
    <n v="259.66000000000003"/>
    <x v="23"/>
    <n v="43.270000000000039"/>
  </r>
  <r>
    <x v="24"/>
    <x v="11"/>
    <s v="24-Aug-2026"/>
    <s v="C031"/>
    <s v="P1018"/>
    <s v="P1018"/>
    <n v="5"/>
    <n v="228.29"/>
    <n v="0.15"/>
    <x v="2"/>
    <s v="Card"/>
    <x v="1"/>
    <s v="Hasthampatti"/>
    <s v="Charan"/>
    <s v="Beverages"/>
    <x v="17"/>
    <x v="4"/>
    <s v="Cavin's"/>
    <n v="203.83"/>
    <n v="240.94"/>
    <s v="Kongu Distributors"/>
    <s v="Vignesh Raj"/>
    <s v="Male"/>
    <n v="24"/>
    <s v="Karur"/>
    <x v="1"/>
    <d v="2025-10-06T00:00:00"/>
    <n v="1141.45"/>
    <x v="24"/>
    <n v="-48.917500000000132"/>
  </r>
  <r>
    <x v="25"/>
    <x v="15"/>
    <s v="30/08/2026"/>
    <s v="C018"/>
    <s v="P1010"/>
    <s v="P1010"/>
    <n v="3"/>
    <n v="413.9"/>
    <n v="0.15"/>
    <x v="1"/>
    <s v="UPI"/>
    <x v="1"/>
    <s v="Hasthampatti"/>
    <s v="Asha"/>
    <s v="Dairy"/>
    <x v="3"/>
    <x v="0"/>
    <s v="Cavin's"/>
    <n v="342.47"/>
    <n v="441.05"/>
    <s v="Salem Wholesale Mart"/>
    <s v="Nithya M"/>
    <s v="Female"/>
    <n v="21"/>
    <s v="Erode"/>
    <x v="0"/>
    <d v="2026-02-04T00:00:00"/>
    <n v="1241.6999999999998"/>
    <x v="25"/>
    <n v="28.034999999999627"/>
  </r>
  <r>
    <x v="26"/>
    <x v="16"/>
    <s v="04-Sep-2026"/>
    <s v="C049"/>
    <s v="P1023"/>
    <s v="P1023"/>
    <n v="2"/>
    <n v="137.01"/>
    <n v="0.15"/>
    <x v="0"/>
    <s v="Cash"/>
    <x v="1"/>
    <s v="Hasthampatti"/>
    <s v="Ezhil"/>
    <s v="Personal Care"/>
    <x v="11"/>
    <x v="5"/>
    <s v="Cavin's"/>
    <n v="124.48"/>
    <n v="146.47999999999999"/>
    <s v="Sri Ganesh Agencies"/>
    <s v="Harish Selvam"/>
    <s v="Female"/>
    <n v="53"/>
    <s v="Erode"/>
    <x v="0"/>
    <d v="2026-01-24T00:00:00"/>
    <n v="274.02"/>
    <x v="26"/>
    <n v="-16.043000000000035"/>
  </r>
  <r>
    <x v="27"/>
    <x v="20"/>
    <s v="03-Sep-2026"/>
    <s v="Guest"/>
    <s v="P1010"/>
    <s v="P1010"/>
    <n v="1"/>
    <n v="435.14"/>
    <n v="0"/>
    <x v="1"/>
    <s v="UPI"/>
    <x v="1"/>
    <s v="Hasthampatti"/>
    <s v="Bala"/>
    <s v="Dairy"/>
    <x v="3"/>
    <x v="0"/>
    <s v="Cavin's"/>
    <n v="342.47"/>
    <n v="441.05"/>
    <s v="Salem Wholesale Mart"/>
    <s v="Guest"/>
    <s v="Guest"/>
    <s v="Guest"/>
    <s v="Guest"/>
    <x v="3"/>
    <s v="Guest"/>
    <n v="435.14"/>
    <x v="27"/>
    <n v="92.669999999999959"/>
  </r>
  <r>
    <x v="28"/>
    <x v="21"/>
    <s v="20-Aug-2026"/>
    <s v="C001"/>
    <s v="P1023"/>
    <s v="P1023"/>
    <n v="5"/>
    <n v="136.24"/>
    <n v="0"/>
    <x v="1"/>
    <s v="UPI"/>
    <x v="2"/>
    <s v="Suramangalam"/>
    <s v="Charan"/>
    <s v="Personal Care"/>
    <x v="11"/>
    <x v="5"/>
    <s v="Cavin's"/>
    <n v="124.48"/>
    <n v="146.47999999999999"/>
    <s v="Sri Ganesh Agencies"/>
    <s v="Priya Raj"/>
    <s v="Female"/>
    <n v="28"/>
    <s v="Coimbatore"/>
    <x v="0"/>
    <d v="2025-09-27T00:00:00"/>
    <n v="681.2"/>
    <x v="28"/>
    <n v="58.800000000000068"/>
  </r>
  <r>
    <x v="29"/>
    <x v="22"/>
    <s v="09-Aug-2026"/>
    <s v="C041"/>
    <s v="P1028"/>
    <s v="P1028"/>
    <n v="4"/>
    <n v="48.81"/>
    <n v="0"/>
    <x v="2"/>
    <s v="Card"/>
    <x v="1"/>
    <s v="Hasthampatti"/>
    <s v="Divya"/>
    <s v="Household"/>
    <x v="18"/>
    <x v="1"/>
    <s v="LocalFresh"/>
    <n v="43.54"/>
    <n v="52.59"/>
    <s v="Sri Ganesh Agencies"/>
    <s v="Divya R"/>
    <s v="Female"/>
    <n v="20"/>
    <s v="Coimbatore"/>
    <x v="0"/>
    <d v="2026-04-17T00:00:00"/>
    <n v="195.24"/>
    <x v="29"/>
    <n v="21.080000000000013"/>
  </r>
  <r>
    <x v="30"/>
    <x v="23"/>
    <s v="31-Aug-2026"/>
    <s v="C029"/>
    <s v="P1011"/>
    <s v="P1011"/>
    <n v="2"/>
    <n v="492.56"/>
    <n v="0"/>
    <x v="0"/>
    <s v="Cash"/>
    <x v="0"/>
    <s v="Fairlands"/>
    <s v="Asha"/>
    <s v="Dairy"/>
    <x v="6"/>
    <x v="0"/>
    <s v="Cavin's"/>
    <n v="409.19"/>
    <n v="493.92"/>
    <s v="Metro Supply Co"/>
    <s v="Meena M"/>
    <s v="Female"/>
    <n v="36"/>
    <s v="Erode"/>
    <x v="0"/>
    <d v="2026-07-11T00:00:00"/>
    <n v="985.12"/>
    <x v="30"/>
    <n v="166.74"/>
  </r>
  <r>
    <x v="31"/>
    <x v="24"/>
    <s v="26-Aug-2026"/>
    <s v="C032"/>
    <s v="P1003"/>
    <s v="P1003"/>
    <n v="5"/>
    <n v="279.36"/>
    <n v="0"/>
    <x v="1"/>
    <s v="UPI"/>
    <x v="0"/>
    <s v="Fairlands"/>
    <s v="Ezhil"/>
    <s v="Staples"/>
    <x v="7"/>
    <x v="3"/>
    <s v="Aavin"/>
    <n v="255.38"/>
    <n v="287.89"/>
    <s v="Kongu Distributors"/>
    <s v="Anitha Shree"/>
    <s v="Male"/>
    <n v="63"/>
    <s v="Namakkal"/>
    <x v="0"/>
    <d v="2025-09-28T00:00:00"/>
    <n v="1396.8000000000002"/>
    <x v="31"/>
    <n v="119.90000000000009"/>
  </r>
  <r>
    <x v="32"/>
    <x v="21"/>
    <s v="20-Aug-2026"/>
    <s v="C006"/>
    <s v="P1008"/>
    <s v="P1008"/>
    <n v="1"/>
    <n v="465.27"/>
    <n v="0.05"/>
    <x v="2"/>
    <s v="Card"/>
    <x v="2"/>
    <s v="Suramangalam"/>
    <s v="Ezhil"/>
    <s v="Dairy"/>
    <x v="0"/>
    <x v="0"/>
    <s v="Aavin"/>
    <n v="402.8"/>
    <n v="482.32"/>
    <s v="FreshLine Traders"/>
    <s v="Nithya R"/>
    <s v="Male"/>
    <n v="26"/>
    <s v="Karur"/>
    <x v="0"/>
    <d v="2026-07-17T00:00:00"/>
    <n v="465.27"/>
    <x v="32"/>
    <n v="39.206499999999949"/>
  </r>
  <r>
    <x v="33"/>
    <x v="5"/>
    <s v="15-Aug-2026"/>
    <s v="C050"/>
    <s v="P1017"/>
    <s v="P1017"/>
    <n v="4"/>
    <n v="291.36"/>
    <n v="0.05"/>
    <x v="0"/>
    <s v="Cash"/>
    <x v="2"/>
    <s v="Suramangalam"/>
    <s v="Divya"/>
    <s v="Beverages"/>
    <x v="19"/>
    <x v="4"/>
    <s v="Tata"/>
    <n v="262.87"/>
    <n v="304.76"/>
    <s v="Kongu Distributors"/>
    <s v="Divya Shree"/>
    <s v="Female"/>
    <n v="43"/>
    <s v="Dharmapuri"/>
    <x v="1"/>
    <d v="2025-11-08T00:00:00"/>
    <n v="1165.44"/>
    <x v="33"/>
    <n v="55.687999999999874"/>
  </r>
  <r>
    <x v="34"/>
    <x v="21"/>
    <s v="20-Aug-2026"/>
    <s v="C037"/>
    <s v="P1020"/>
    <s v="P1020"/>
    <n v="1"/>
    <n v="440.47"/>
    <n v="0.15"/>
    <x v="1"/>
    <s v="UPI"/>
    <x v="0"/>
    <s v="Fairlands"/>
    <s v="Bala"/>
    <s v="Beverages"/>
    <x v="10"/>
    <x v="4"/>
    <s v="ITC"/>
    <n v="348.36"/>
    <n v="454.67"/>
    <s v="Metro Supply Co"/>
    <s v="Kavin Raj"/>
    <s v="Female"/>
    <n v="68"/>
    <s v="Salem"/>
    <x v="2"/>
    <d v="2025-08-04T00:00:00"/>
    <n v="440.47"/>
    <x v="34"/>
    <n v="26.039499999999975"/>
  </r>
  <r>
    <x v="35"/>
    <x v="8"/>
    <s v="17-Aug-2026"/>
    <s v="C043"/>
    <s v="P1003"/>
    <s v="P1003"/>
    <n v="2"/>
    <n v="270.38"/>
    <n v="0.1"/>
    <x v="1"/>
    <s v="UPI"/>
    <x v="0"/>
    <s v="Fairlands"/>
    <s v="Asha"/>
    <s v="Staples"/>
    <x v="7"/>
    <x v="3"/>
    <s v="Aavin"/>
    <n v="255.38"/>
    <n v="287.89"/>
    <s v="Kongu Distributors"/>
    <s v="Harish Raj"/>
    <s v="Male"/>
    <n v="67"/>
    <s v="Namakkal"/>
    <x v="0"/>
    <d v="2026-06-06T00:00:00"/>
    <n v="540.76"/>
    <x v="35"/>
    <n v="-24.075999999999965"/>
  </r>
  <r>
    <x v="36"/>
    <x v="3"/>
    <s v="27-Aug-2026"/>
    <s v="C029"/>
    <s v="P1023"/>
    <s v="P1023"/>
    <n v="5"/>
    <n v="140.27000000000001"/>
    <n v="0"/>
    <x v="1"/>
    <s v="UPI"/>
    <x v="1"/>
    <s v="Hasthampatti"/>
    <s v="Charan"/>
    <s v="Personal Care"/>
    <x v="11"/>
    <x v="5"/>
    <s v="Cavin's"/>
    <n v="124.48"/>
    <n v="146.47999999999999"/>
    <s v="Sri Ganesh Agencies"/>
    <s v="Meena M"/>
    <s v="Female"/>
    <n v="36"/>
    <s v="Erode"/>
    <x v="0"/>
    <d v="2026-07-11T00:00:00"/>
    <n v="701.35"/>
    <x v="36"/>
    <n v="78.950000000000045"/>
  </r>
  <r>
    <x v="37"/>
    <x v="15"/>
    <s v="30-Aug-2026"/>
    <s v="C005"/>
    <s v="P1022"/>
    <s v="P1022"/>
    <n v="2"/>
    <n v="127"/>
    <n v="0.15"/>
    <x v="2"/>
    <s v="Card"/>
    <x v="2"/>
    <s v="Suramangalam"/>
    <s v="Bala"/>
    <s v="Personal Care"/>
    <x v="20"/>
    <x v="5"/>
    <s v="LocalFresh"/>
    <n v="103.48"/>
    <n v="127.78"/>
    <s v="Kongu Distributors"/>
    <s v="Anitha M"/>
    <s v="Male"/>
    <n v="33"/>
    <s v="Dharmapuri"/>
    <x v="2"/>
    <d v="2025-03-29T00:00:00"/>
    <n v="254"/>
    <x v="37"/>
    <n v="8.9399999999999977"/>
  </r>
  <r>
    <x v="38"/>
    <x v="25"/>
    <s v="28-Aug-2026"/>
    <s v="C008"/>
    <s v="P1018"/>
    <s v="P1018"/>
    <n v="2"/>
    <n v="234.15"/>
    <n v="0"/>
    <x v="1"/>
    <s v="UPI"/>
    <x v="0"/>
    <s v="Fairlands"/>
    <s v="Asha"/>
    <s v="Beverages"/>
    <x v="17"/>
    <x v="4"/>
    <s v="Cavin's"/>
    <n v="203.83"/>
    <n v="240.94"/>
    <s v="Kongu Distributors"/>
    <s v="Anitha Selvam"/>
    <s v="Female"/>
    <n v="46"/>
    <s v="Dharmapuri"/>
    <x v="0"/>
    <d v="2025-09-11T00:00:00"/>
    <n v="468.3"/>
    <x v="38"/>
    <n v="60.639999999999986"/>
  </r>
  <r>
    <x v="39"/>
    <x v="6"/>
    <s v="11-Aug-2026"/>
    <s v="C051"/>
    <s v="P1010"/>
    <s v="P1010"/>
    <n v="5"/>
    <n v="432.19"/>
    <n v="0.1"/>
    <x v="0"/>
    <s v="Cash"/>
    <x v="1"/>
    <s v="Hasthampatti"/>
    <s v="Asha"/>
    <s v="Dairy"/>
    <x v="3"/>
    <x v="0"/>
    <s v="Cavin's"/>
    <n v="342.47"/>
    <n v="441.05"/>
    <s v="Salem Wholesale Mart"/>
    <s v="Anitha M"/>
    <s v="Female"/>
    <n v="68"/>
    <s v="Dharmapuri"/>
    <x v="1"/>
    <d v="2025-11-26T00:00:00"/>
    <n v="2160.9499999999998"/>
    <x v="39"/>
    <n v="232.50499999999965"/>
  </r>
  <r>
    <x v="40"/>
    <x v="15"/>
    <s v="30-Aug-2026"/>
    <s v="C045"/>
    <s v="P1010"/>
    <s v="P1010"/>
    <n v="6"/>
    <n v="419.97"/>
    <n v="0"/>
    <x v="2"/>
    <s v="Card"/>
    <x v="2"/>
    <s v="Suramangalam"/>
    <s v="Divya"/>
    <s v="Dairy"/>
    <x v="3"/>
    <x v="0"/>
    <s v="Cavin's"/>
    <n v="342.47"/>
    <n v="441.05"/>
    <s v="Salem Wholesale Mart"/>
    <s v="Divya Shree"/>
    <s v="Female"/>
    <n v="20"/>
    <s v="Salem"/>
    <x v="1"/>
    <d v="2025-12-20T00:00:00"/>
    <n v="2519.8200000000002"/>
    <x v="40"/>
    <n v="465"/>
  </r>
  <r>
    <x v="41"/>
    <x v="26"/>
    <s v="29-Aug-2026"/>
    <s v="C006"/>
    <s v="P1020"/>
    <s v="P1020"/>
    <n v="1"/>
    <n v="450.65"/>
    <n v="0.15"/>
    <x v="0"/>
    <s v="Cash"/>
    <x v="2"/>
    <s v="Suramangalam"/>
    <s v="Charan"/>
    <s v="Beverages"/>
    <x v="10"/>
    <x v="4"/>
    <s v="ITC"/>
    <n v="348.36"/>
    <n v="454.67"/>
    <s v="Metro Supply Co"/>
    <s v="Nithya R"/>
    <s v="Male"/>
    <n v="26"/>
    <s v="Karur"/>
    <x v="0"/>
    <d v="2026-07-17T00:00:00"/>
    <n v="450.65"/>
    <x v="41"/>
    <n v="34.692499999999939"/>
  </r>
  <r>
    <x v="42"/>
    <x v="27"/>
    <s v="02-Aug-2026"/>
    <s v="C006"/>
    <s v="P1008"/>
    <s v="P1008"/>
    <n v="6"/>
    <n v="475.99"/>
    <n v="0.1"/>
    <x v="2"/>
    <s v="Card"/>
    <x v="0"/>
    <s v="Fairlands"/>
    <s v="Charan"/>
    <s v="Dairy"/>
    <x v="0"/>
    <x v="0"/>
    <s v="Aavin"/>
    <n v="402.8"/>
    <n v="482.32"/>
    <s v="FreshLine Traders"/>
    <s v="Nithya R"/>
    <s v="Male"/>
    <n v="26"/>
    <s v="Karur"/>
    <x v="0"/>
    <d v="2026-07-17T00:00:00"/>
    <n v="2855.94"/>
    <x v="42"/>
    <n v="153.54599999999982"/>
  </r>
  <r>
    <x v="43"/>
    <x v="7"/>
    <s v="06-Sep-2026"/>
    <s v="C003"/>
    <s v="P1025"/>
    <s v="P1025"/>
    <n v="2"/>
    <n v="211.3"/>
    <n v="0.15"/>
    <x v="1"/>
    <s v="UPI"/>
    <x v="1"/>
    <s v="Hasthampatti"/>
    <s v="Bala"/>
    <s v="Personal Care"/>
    <x v="21"/>
    <x v="5"/>
    <s v="Britannia"/>
    <n v="163.52000000000001"/>
    <n v="220.65"/>
    <s v="Sri Ganesh Agencies"/>
    <s v="Janani M"/>
    <s v="Male"/>
    <n v="41"/>
    <s v="Erode"/>
    <x v="0"/>
    <d v="2026-06-28T00:00:00"/>
    <n v="422.6"/>
    <x v="43"/>
    <n v="32.170000000000016"/>
  </r>
  <r>
    <x v="44"/>
    <x v="25"/>
    <s v="28-Aug-2026"/>
    <s v="C041"/>
    <s v="P1027"/>
    <s v="P1027"/>
    <n v="4"/>
    <n v="351.02"/>
    <n v="0.05"/>
    <x v="0"/>
    <s v="Cash"/>
    <x v="1"/>
    <s v="Hasthampatti"/>
    <s v="Charan"/>
    <s v="Household"/>
    <x v="22"/>
    <x v="1"/>
    <s v="ITC"/>
    <n v="270.23"/>
    <n v="351.89"/>
    <s v="Sri Ganesh Agencies"/>
    <s v="Divya R"/>
    <s v="Female"/>
    <n v="20"/>
    <s v="Coimbatore"/>
    <x v="0"/>
    <d v="2026-04-17T00:00:00"/>
    <n v="1404.08"/>
    <x v="44"/>
    <n v="252.9559999999999"/>
  </r>
  <r>
    <x v="45"/>
    <x v="28"/>
    <s v="21-Aug-2026"/>
    <s v="C043"/>
    <s v="P1004"/>
    <s v="P1004"/>
    <n v="2"/>
    <n v="132.83000000000001"/>
    <n v="0.15"/>
    <x v="0"/>
    <s v="Cash"/>
    <x v="1"/>
    <s v="Hasthampatti"/>
    <s v="Divya"/>
    <s v="Staples"/>
    <x v="23"/>
    <x v="3"/>
    <s v="Cavin's"/>
    <n v="111.53"/>
    <n v="140.36000000000001"/>
    <s v="Kongu Distributors"/>
    <s v="Harish Raj"/>
    <s v="Male"/>
    <n v="67"/>
    <s v="Namakkal"/>
    <x v="0"/>
    <d v="2026-06-06T00:00:00"/>
    <n v="265.66000000000003"/>
    <x v="45"/>
    <n v="2.7510000000000048"/>
  </r>
  <r>
    <x v="46"/>
    <x v="29"/>
    <s v="05-Sep-2026"/>
    <s v="C003"/>
    <s v="P1015"/>
    <s v="P1015"/>
    <n v="1"/>
    <n v="155.28"/>
    <n v="0"/>
    <x v="1"/>
    <s v="UPI"/>
    <x v="1"/>
    <s v="Hasthampatti"/>
    <s v="Ezhil"/>
    <s v="Snacks"/>
    <x v="4"/>
    <x v="2"/>
    <s v="HUL"/>
    <n v="129.75"/>
    <n v="164.29"/>
    <s v="Kongu Distributors"/>
    <s v="Janani M"/>
    <s v="Male"/>
    <n v="41"/>
    <s v="Erode"/>
    <x v="0"/>
    <d v="2026-06-28T00:00:00"/>
    <n v="155.28"/>
    <x v="46"/>
    <n v="25.53"/>
  </r>
  <r>
    <x v="47"/>
    <x v="4"/>
    <s v="01-Aug-2026"/>
    <s v="C043"/>
    <s v="P1028"/>
    <s v="P1028"/>
    <n v="5"/>
    <n v="50.33"/>
    <n v="0"/>
    <x v="1"/>
    <s v="UPI"/>
    <x v="2"/>
    <s v="Suramangalam"/>
    <s v="Charan"/>
    <s v="Household"/>
    <x v="18"/>
    <x v="1"/>
    <s v="LocalFresh"/>
    <n v="43.54"/>
    <n v="52.59"/>
    <s v="Sri Ganesh Agencies"/>
    <s v="Harish Raj"/>
    <s v="Male"/>
    <n v="67"/>
    <s v="Namakkal"/>
    <x v="0"/>
    <d v="2026-06-06T00:00:00"/>
    <n v="251.64999999999998"/>
    <x v="47"/>
    <n v="33.949999999999989"/>
  </r>
  <r>
    <x v="48"/>
    <x v="0"/>
    <s v="01-Sep-2026"/>
    <s v="C041"/>
    <s v="P1015"/>
    <s v="P1015"/>
    <n v="1"/>
    <n v="153.82"/>
    <n v="0.1"/>
    <x v="1"/>
    <s v="UPI"/>
    <x v="1"/>
    <s v="Hasthampatti"/>
    <s v="Divya"/>
    <s v="Snacks"/>
    <x v="4"/>
    <x v="2"/>
    <s v="HUL"/>
    <n v="129.75"/>
    <n v="164.29"/>
    <s v="Kongu Distributors"/>
    <s v="Divya R"/>
    <s v="Female"/>
    <n v="20"/>
    <s v="Coimbatore"/>
    <x v="0"/>
    <d v="2026-04-17T00:00:00"/>
    <n v="153.82"/>
    <x v="48"/>
    <n v="8.6879999999999882"/>
  </r>
  <r>
    <x v="49"/>
    <x v="0"/>
    <s v="01-Sep-2026"/>
    <s v="C008"/>
    <s v="P1001"/>
    <s v="P1001"/>
    <n v="6"/>
    <n v="299.95"/>
    <n v="0"/>
    <x v="2"/>
    <s v="Card"/>
    <x v="0"/>
    <s v="Fairlands"/>
    <s v="Charan"/>
    <s v="Staples"/>
    <x v="5"/>
    <x v="3"/>
    <s v="Nestle"/>
    <n v="275.05"/>
    <n v="309.64"/>
    <s v="Kongu Distributors"/>
    <s v="Anitha Selvam"/>
    <s v="Female"/>
    <n v="46"/>
    <s v="Dharmapuri"/>
    <x v="0"/>
    <d v="2025-09-11T00:00:00"/>
    <n v="1799.6999999999998"/>
    <x v="49"/>
    <n v="149.39999999999964"/>
  </r>
  <r>
    <x v="50"/>
    <x v="29"/>
    <s v="05-Sep-2026"/>
    <s v="C001"/>
    <s v="P1018"/>
    <s v="P1018"/>
    <n v="4"/>
    <n v="223.46"/>
    <n v="0"/>
    <x v="0"/>
    <s v="Cash"/>
    <x v="0"/>
    <s v="Fairlands"/>
    <s v="Bala"/>
    <s v="Beverages"/>
    <x v="17"/>
    <x v="4"/>
    <s v="Cavin's"/>
    <n v="203.83"/>
    <n v="240.94"/>
    <s v="Kongu Distributors"/>
    <s v="Priya Raj"/>
    <s v="Female"/>
    <n v="28"/>
    <s v="Coimbatore"/>
    <x v="0"/>
    <d v="2025-09-27T00:00:00"/>
    <n v="893.84"/>
    <x v="50"/>
    <n v="78.519999999999982"/>
  </r>
  <r>
    <x v="51"/>
    <x v="0"/>
    <s v="01-Sep-2026"/>
    <s v="C060"/>
    <s v="P1023"/>
    <s v="P1023"/>
    <n v="3"/>
    <n v="140.72"/>
    <n v="0"/>
    <x v="0"/>
    <s v="Cash"/>
    <x v="1"/>
    <s v="Hasthampatti"/>
    <s v="Divya"/>
    <s v="Personal Care"/>
    <x v="11"/>
    <x v="5"/>
    <s v="Cavin's"/>
    <n v="124.48"/>
    <n v="146.47999999999999"/>
    <s v="Sri Ganesh Agencies"/>
    <s v="Karthik Raj"/>
    <s v="Male"/>
    <n v="58"/>
    <s v="Namakkal"/>
    <x v="1"/>
    <d v="2026-06-18T00:00:00"/>
    <n v="422.15999999999997"/>
    <x v="51"/>
    <n v="48.71999999999997"/>
  </r>
  <r>
    <x v="52"/>
    <x v="17"/>
    <s v="16-Aug-2026"/>
    <s v="C030"/>
    <s v="P1018"/>
    <s v="P1018"/>
    <n v="2"/>
    <n v="229.06"/>
    <n v="0.1"/>
    <x v="2"/>
    <s v="Card"/>
    <x v="2"/>
    <s v="Suramangalam"/>
    <s v="Bala"/>
    <s v="Beverages"/>
    <x v="17"/>
    <x v="4"/>
    <s v="Cavin's"/>
    <n v="203.83"/>
    <n v="240.94"/>
    <s v="Kongu Distributors"/>
    <s v="Anitha Shree"/>
    <s v="Male"/>
    <n v="60"/>
    <s v="Dharmapuri"/>
    <x v="0"/>
    <d v="2025-04-17T00:00:00"/>
    <n v="458.12"/>
    <x v="52"/>
    <n v="4.6479999999999677"/>
  </r>
  <r>
    <x v="53"/>
    <x v="9"/>
    <s v="05-Aug-2026"/>
    <s v="C018"/>
    <s v="P1025"/>
    <s v="P1025"/>
    <n v="4"/>
    <n v="209"/>
    <n v="0.1"/>
    <x v="0"/>
    <s v="Cash"/>
    <x v="2"/>
    <s v="Suramangalam"/>
    <s v="Charan"/>
    <s v="Personal Care"/>
    <x v="21"/>
    <x v="5"/>
    <s v="Britannia"/>
    <n v="163.52000000000001"/>
    <n v="220.65"/>
    <s v="Sri Ganesh Agencies"/>
    <s v="Nithya M"/>
    <s v="Female"/>
    <n v="21"/>
    <s v="Erode"/>
    <x v="0"/>
    <d v="2026-02-04T00:00:00"/>
    <n v="836"/>
    <x v="53"/>
    <n v="98.319999999999936"/>
  </r>
  <r>
    <x v="54"/>
    <x v="21"/>
    <s v="20-Aug-2026"/>
    <s v="C054"/>
    <s v="P1019"/>
    <s v="P1019"/>
    <n v="5"/>
    <n v="385.21"/>
    <n v="0.05"/>
    <x v="1"/>
    <s v="UPI"/>
    <x v="1"/>
    <s v="Hasthampatti"/>
    <s v="Ezhil"/>
    <s v="Beverages"/>
    <x v="12"/>
    <x v="4"/>
    <s v="Aachi"/>
    <n v="293.20999999999998"/>
    <n v="385.24"/>
    <s v="Kongu Distributors"/>
    <s v="Naveen S"/>
    <s v="Male"/>
    <n v="20"/>
    <s v="Erode"/>
    <x v="2"/>
    <d v="2025-03-16T00:00:00"/>
    <n v="1926.05"/>
    <x v="54"/>
    <n v="363.69749999999999"/>
  </r>
  <r>
    <x v="55"/>
    <x v="23"/>
    <s v="31-Aug-2026"/>
    <s v="C023"/>
    <s v="P1011"/>
    <s v="P1011"/>
    <n v="5"/>
    <n v="484.55"/>
    <n v="0.05"/>
    <x v="0"/>
    <s v="Cash"/>
    <x v="1"/>
    <s v="Hasthampatti"/>
    <s v="Bala"/>
    <s v="Dairy"/>
    <x v="6"/>
    <x v="0"/>
    <s v="Cavin's"/>
    <n v="409.19"/>
    <n v="493.92"/>
    <s v="Metro Supply Co"/>
    <s v="Janani R"/>
    <s v="Male"/>
    <n v="43"/>
    <s v="Salem"/>
    <x v="2"/>
    <d v="2026-08-07T00:00:00"/>
    <n v="2422.75"/>
    <x v="55"/>
    <n v="255.66249999999968"/>
  </r>
  <r>
    <x v="56"/>
    <x v="17"/>
    <s v="2026-08-16"/>
    <s v="C037"/>
    <s v="P1013"/>
    <s v="P1013"/>
    <n v="2"/>
    <n v="107.01"/>
    <n v="0.05"/>
    <x v="1"/>
    <s v="UPI"/>
    <x v="1"/>
    <s v="Hasthampatti"/>
    <s v="Divya"/>
    <s v="Snacks"/>
    <x v="24"/>
    <x v="2"/>
    <s v="Tata"/>
    <n v="95.3"/>
    <n v="108.26"/>
    <s v="Metro Supply Co"/>
    <s v="Kavin Raj"/>
    <s v="Female"/>
    <n v="68"/>
    <s v="Salem"/>
    <x v="2"/>
    <d v="2025-08-04T00:00:00"/>
    <n v="214.02"/>
    <x v="56"/>
    <n v="12.718999999999994"/>
  </r>
  <r>
    <x v="57"/>
    <x v="18"/>
    <s v="25-Aug-2026"/>
    <s v="C025"/>
    <s v="P1022"/>
    <s v="P1022"/>
    <n v="6"/>
    <n v="127.58"/>
    <n v="0.05"/>
    <x v="1"/>
    <s v="UPI"/>
    <x v="0"/>
    <s v="Fairlands"/>
    <s v="Ezhil"/>
    <s v="Personal Care"/>
    <x v="20"/>
    <x v="5"/>
    <s v="LocalFresh"/>
    <n v="103.48"/>
    <n v="127.78"/>
    <s v="Kongu Distributors"/>
    <s v="Surya Priyan"/>
    <s v="Female"/>
    <n v="34"/>
    <s v="Erode"/>
    <x v="1"/>
    <d v="2025-11-18T00:00:00"/>
    <n v="765.48"/>
    <x v="57"/>
    <n v="106.32600000000002"/>
  </r>
  <r>
    <x v="58"/>
    <x v="1"/>
    <s v="22-Aug-2026"/>
    <s v="C056"/>
    <s v="P1004"/>
    <s v="P1004"/>
    <n v="4"/>
    <n v="130.25"/>
    <n v="0.05"/>
    <x v="1"/>
    <s v="UPI"/>
    <x v="2"/>
    <s v="Suramangalam"/>
    <s v="Bala"/>
    <s v="Staples"/>
    <x v="23"/>
    <x v="3"/>
    <s v="Cavin's"/>
    <n v="111.53"/>
    <n v="140.36000000000001"/>
    <s v="Kongu Distributors"/>
    <s v="Keerthi S"/>
    <s v="Male"/>
    <n v="66"/>
    <s v="Salem"/>
    <x v="1"/>
    <d v="2025-08-13T00:00:00"/>
    <n v="521"/>
    <x v="58"/>
    <n v="48.829999999999984"/>
  </r>
  <r>
    <x v="59"/>
    <x v="3"/>
    <s v="27-Aug-2026"/>
    <s v="C056"/>
    <s v="P1021"/>
    <s v="P1021"/>
    <n v="2"/>
    <n v="54.94"/>
    <n v="0"/>
    <x v="0"/>
    <s v="Cash"/>
    <x v="2"/>
    <s v="Suramangalam"/>
    <s v="Divya"/>
    <s v="Beverages"/>
    <x v="8"/>
    <x v="4"/>
    <s v="Surf"/>
    <n v="44.61"/>
    <n v="59.33"/>
    <s v="Metro Supply Co"/>
    <s v="Keerthi S"/>
    <s v="Male"/>
    <n v="66"/>
    <s v="Salem"/>
    <x v="1"/>
    <d v="2025-08-13T00:00:00"/>
    <n v="109.88"/>
    <x v="59"/>
    <n v="20.659999999999997"/>
  </r>
  <r>
    <x v="60"/>
    <x v="30"/>
    <s v="06-Aug-2026"/>
    <s v="C055"/>
    <s v="P1011"/>
    <s v="P1011"/>
    <n v="6"/>
    <n v="488.36"/>
    <n v="0.05"/>
    <x v="0"/>
    <s v="Cash"/>
    <x v="2"/>
    <s v="Suramangalam"/>
    <s v="Divya"/>
    <s v="Dairy"/>
    <x v="6"/>
    <x v="0"/>
    <s v="Cavin's"/>
    <n v="409.19"/>
    <n v="493.92"/>
    <s v="Metro Supply Co"/>
    <s v="Karthik Selvam"/>
    <s v="Male"/>
    <n v="63"/>
    <s v="Karur"/>
    <x v="0"/>
    <d v="2026-02-14T00:00:00"/>
    <n v="2930.16"/>
    <x v="60"/>
    <n v="328.51199999999972"/>
  </r>
  <r>
    <x v="61"/>
    <x v="16"/>
    <s v="04-Sep-2026"/>
    <s v="C003"/>
    <s v="P1020"/>
    <s v="P1020"/>
    <n v="1"/>
    <n v="426.84"/>
    <n v="0.15"/>
    <x v="0"/>
    <s v="Cash"/>
    <x v="0"/>
    <s v="Fairlands"/>
    <s v="Asha"/>
    <s v="Beverages"/>
    <x v="10"/>
    <x v="4"/>
    <s v="ITC"/>
    <n v="348.36"/>
    <n v="454.67"/>
    <s v="Metro Supply Co"/>
    <s v="Janani M"/>
    <s v="Male"/>
    <n v="41"/>
    <s v="Erode"/>
    <x v="0"/>
    <d v="2026-06-28T00:00:00"/>
    <n v="426.84"/>
    <x v="61"/>
    <n v="14.453999999999951"/>
  </r>
  <r>
    <x v="62"/>
    <x v="25"/>
    <s v="28-Aug-2026"/>
    <s v="C007"/>
    <s v="P1025"/>
    <s v="P1025"/>
    <n v="6"/>
    <n v="215.42"/>
    <n v="0"/>
    <x v="0"/>
    <s v="Cash"/>
    <x v="0"/>
    <s v="Fairlands"/>
    <s v="Charan"/>
    <s v="Personal Care"/>
    <x v="21"/>
    <x v="5"/>
    <s v="Britannia"/>
    <n v="163.52000000000001"/>
    <n v="220.65"/>
    <s v="Sri Ganesh Agencies"/>
    <s v="Divya Raj"/>
    <s v="Female"/>
    <n v="31"/>
    <s v="Dharmapuri"/>
    <x v="1"/>
    <d v="2025-07-25T00:00:00"/>
    <n v="1292.52"/>
    <x v="62"/>
    <n v="311.39999999999986"/>
  </r>
  <r>
    <x v="63"/>
    <x v="27"/>
    <s v="02-Aug-2026"/>
    <s v="C003"/>
    <s v="P1011"/>
    <s v="P1011"/>
    <n v="1"/>
    <n v="466"/>
    <n v="0"/>
    <x v="0"/>
    <s v="Cash"/>
    <x v="0"/>
    <s v="Fairlands"/>
    <s v="Bala"/>
    <s v="Dairy"/>
    <x v="6"/>
    <x v="0"/>
    <s v="Cavin's"/>
    <n v="409.19"/>
    <n v="493.92"/>
    <s v="Metro Supply Co"/>
    <s v="Janani M"/>
    <s v="Male"/>
    <n v="41"/>
    <s v="Erode"/>
    <x v="0"/>
    <d v="2026-06-28T00:00:00"/>
    <n v="466"/>
    <x v="63"/>
    <n v="56.81"/>
  </r>
  <r>
    <x v="64"/>
    <x v="20"/>
    <s v="03-Sep-2026"/>
    <s v="C027"/>
    <s v="P1019"/>
    <s v="P1019"/>
    <n v="6"/>
    <n v="378.85"/>
    <n v="0"/>
    <x v="1"/>
    <s v="UPI"/>
    <x v="0"/>
    <s v="Fairlands"/>
    <s v="Ezhil"/>
    <s v="Beverages"/>
    <x v="12"/>
    <x v="4"/>
    <s v="Aachi"/>
    <n v="293.20999999999998"/>
    <n v="385.24"/>
    <s v="Kongu Distributors"/>
    <s v="Harish R"/>
    <s v="Male"/>
    <n v="47"/>
    <s v="Dharmapuri"/>
    <x v="2"/>
    <d v="2025-04-13T00:00:00"/>
    <n v="2273.1000000000004"/>
    <x v="64"/>
    <n v="513.8400000000006"/>
  </r>
  <r>
    <x v="65"/>
    <x v="18"/>
    <s v="25-Aug-2026"/>
    <s v="C040"/>
    <s v="P1022"/>
    <s v="P1022"/>
    <n v="2"/>
    <n v="122.64"/>
    <n v="0.1"/>
    <x v="1"/>
    <s v="UPI"/>
    <x v="0"/>
    <s v="Fairlands"/>
    <s v="Divya"/>
    <s v="Personal Care"/>
    <x v="20"/>
    <x v="5"/>
    <s v="LocalFresh"/>
    <n v="103.48"/>
    <n v="127.78"/>
    <s v="Kongu Distributors"/>
    <s v="Divya Devi"/>
    <s v="Female"/>
    <n v="60"/>
    <s v="Karur"/>
    <x v="1"/>
    <d v="2025-10-01T00:00:00"/>
    <n v="245.28"/>
    <x v="65"/>
    <n v="13.792000000000002"/>
  </r>
  <r>
    <x v="66"/>
    <x v="8"/>
    <s v="17-Aug-2026"/>
    <s v="C030"/>
    <s v="P1009"/>
    <s v="P1009"/>
    <n v="6"/>
    <n v="68.86"/>
    <n v="0.05"/>
    <x v="0"/>
    <s v="Cash"/>
    <x v="2"/>
    <s v="Suramangalam"/>
    <s v="Ezhil"/>
    <s v="Dairy"/>
    <x v="15"/>
    <x v="0"/>
    <s v="Surf"/>
    <n v="56.88"/>
    <n v="74.790000000000006"/>
    <s v="Metro Supply Co"/>
    <s v="Anitha Shree"/>
    <s v="Male"/>
    <n v="60"/>
    <s v="Dharmapuri"/>
    <x v="0"/>
    <d v="2025-04-17T00:00:00"/>
    <n v="413.15999999999997"/>
    <x v="66"/>
    <n v="51.221999999999923"/>
  </r>
  <r>
    <x v="67"/>
    <x v="6"/>
    <s v="11-Aug-2026"/>
    <s v="Guest"/>
    <s v="P1015"/>
    <s v="P1015"/>
    <n v="3"/>
    <n v="164.13"/>
    <n v="0"/>
    <x v="2"/>
    <s v="Card"/>
    <x v="1"/>
    <s v="Hasthampatti"/>
    <s v="Charan"/>
    <s v="Snacks"/>
    <x v="4"/>
    <x v="2"/>
    <s v="HUL"/>
    <n v="129.75"/>
    <n v="164.29"/>
    <s v="Kongu Distributors"/>
    <s v="Guest"/>
    <s v="Guest"/>
    <s v="Guest"/>
    <s v="Guest"/>
    <x v="3"/>
    <s v="Guest"/>
    <n v="492.39"/>
    <x v="67"/>
    <n v="103.13999999999999"/>
  </r>
  <r>
    <x v="68"/>
    <x v="15"/>
    <s v="30-Aug-2026"/>
    <s v="C055"/>
    <s v="P1010"/>
    <s v="P1010"/>
    <n v="2"/>
    <n v="441.03"/>
    <n v="0.05"/>
    <x v="1"/>
    <s v="UPI"/>
    <x v="0"/>
    <s v="Fairlands"/>
    <s v="Divya"/>
    <s v="Dairy"/>
    <x v="3"/>
    <x v="0"/>
    <s v="Cavin's"/>
    <n v="342.47"/>
    <n v="441.05"/>
    <s v="Salem Wholesale Mart"/>
    <s v="Karthik Selvam"/>
    <s v="Male"/>
    <n v="63"/>
    <s v="Karur"/>
    <x v="0"/>
    <d v="2026-02-14T00:00:00"/>
    <n v="882.06"/>
    <x v="68"/>
    <n v="153.01699999999983"/>
  </r>
  <r>
    <x v="69"/>
    <x v="7"/>
    <s v="06-Sep-2026"/>
    <s v="C023"/>
    <s v="P1019"/>
    <s v="P1019"/>
    <n v="3"/>
    <n v="385.01"/>
    <n v="0"/>
    <x v="1"/>
    <s v="UPI"/>
    <x v="2"/>
    <s v="Suramangalam"/>
    <s v="Divya"/>
    <s v="Beverages"/>
    <x v="12"/>
    <x v="4"/>
    <s v="Aachi"/>
    <n v="293.20999999999998"/>
    <n v="385.24"/>
    <s v="Kongu Distributors"/>
    <s v="Janani R"/>
    <s v="Male"/>
    <n v="43"/>
    <s v="Salem"/>
    <x v="2"/>
    <d v="2026-08-07T00:00:00"/>
    <n v="1155.03"/>
    <x v="69"/>
    <n v="275.40000000000009"/>
  </r>
  <r>
    <x v="70"/>
    <x v="31"/>
    <s v="18-Aug-2026"/>
    <s v="C001"/>
    <s v="P1019"/>
    <s v="P1019"/>
    <n v="6"/>
    <n v="378.41"/>
    <n v="0"/>
    <x v="2"/>
    <s v="Card"/>
    <x v="2"/>
    <s v="Suramangalam"/>
    <s v="Divya"/>
    <s v="Beverages"/>
    <x v="12"/>
    <x v="4"/>
    <s v="Aachi"/>
    <n v="293.20999999999998"/>
    <n v="385.24"/>
    <s v="Kongu Distributors"/>
    <s v="Priya Raj"/>
    <s v="Female"/>
    <n v="28"/>
    <s v="Coimbatore"/>
    <x v="0"/>
    <d v="2025-09-27T00:00:00"/>
    <n v="2270.46"/>
    <x v="70"/>
    <n v="511.20000000000027"/>
  </r>
  <r>
    <x v="71"/>
    <x v="32"/>
    <s v="19-Aug-2026"/>
    <s v="C050"/>
    <s v="P1026"/>
    <s v="P1026"/>
    <n v="2"/>
    <n v="271.17"/>
    <n v="0"/>
    <x v="1"/>
    <s v="UPI"/>
    <x v="2"/>
    <s v="Suramangalam"/>
    <s v="Bala"/>
    <s v="Household"/>
    <x v="16"/>
    <x v="1"/>
    <s v="Aavin"/>
    <n v="216.39"/>
    <n v="279.97000000000003"/>
    <s v="Kongu Distributors"/>
    <s v="Divya Shree"/>
    <s v="Female"/>
    <n v="43"/>
    <s v="Dharmapuri"/>
    <x v="1"/>
    <d v="2025-11-08T00:00:00"/>
    <n v="542.34"/>
    <x v="71"/>
    <n v="109.56000000000006"/>
  </r>
  <r>
    <x v="72"/>
    <x v="8"/>
    <s v="17/08/2026"/>
    <s v="C044"/>
    <s v="P1025"/>
    <s v="P1025"/>
    <n v="6"/>
    <n v="216.55"/>
    <n v="0.15"/>
    <x v="1"/>
    <s v="UPI"/>
    <x v="2"/>
    <s v="Suramangalam"/>
    <s v="Asha"/>
    <s v="Personal Care"/>
    <x v="21"/>
    <x v="5"/>
    <s v="Britannia"/>
    <n v="163.52000000000001"/>
    <n v="220.65"/>
    <s v="Sri Ganesh Agencies"/>
    <s v="Lokesh Priyan"/>
    <s v="Female"/>
    <n v="19"/>
    <s v="Salem"/>
    <x v="2"/>
    <d v="2025-09-25T00:00:00"/>
    <n v="1299.3000000000002"/>
    <x v="72"/>
    <n v="123.28500000000008"/>
  </r>
  <r>
    <x v="73"/>
    <x v="33"/>
    <s v="03-Aug-2026"/>
    <s v="C020"/>
    <s v="P1026"/>
    <s v="P1026"/>
    <n v="4"/>
    <n v="258.32"/>
    <n v="0"/>
    <x v="2"/>
    <s v="Card"/>
    <x v="0"/>
    <s v="Fairlands"/>
    <s v="Asha"/>
    <s v="Household"/>
    <x v="16"/>
    <x v="1"/>
    <s v="Aavin"/>
    <n v="216.39"/>
    <n v="279.97000000000003"/>
    <s v="Kongu Distributors"/>
    <s v="Nithya S"/>
    <s v="Male"/>
    <n v="36"/>
    <s v="Erode"/>
    <x v="2"/>
    <d v="2026-08-17T00:00:00"/>
    <n v="1033.28"/>
    <x v="73"/>
    <n v="167.72000000000003"/>
  </r>
  <r>
    <x v="74"/>
    <x v="32"/>
    <s v="19-Aug-2026"/>
    <s v="C021"/>
    <s v="P1024"/>
    <s v="P1024"/>
    <n v="4"/>
    <n v="144.85"/>
    <n v="0"/>
    <x v="2"/>
    <s v="Card"/>
    <x v="1"/>
    <s v="Hasthampatti"/>
    <s v="Ezhil"/>
    <s v="Personal Care"/>
    <x v="25"/>
    <x v="5"/>
    <s v="Surf"/>
    <n v="123.62"/>
    <n v="155.08000000000001"/>
    <s v="FreshLine Traders"/>
    <s v="Gayathri Kumar"/>
    <s v="Female"/>
    <n v="21"/>
    <s v="Salem"/>
    <x v="1"/>
    <d v="2026-05-30T00:00:00"/>
    <n v="579.4"/>
    <x v="74"/>
    <n v="84.919999999999959"/>
  </r>
  <r>
    <x v="75"/>
    <x v="14"/>
    <s v="02-Sep-2026"/>
    <s v="C059"/>
    <s v="P1009"/>
    <s v="P1009"/>
    <n v="2"/>
    <n v="70.34"/>
    <n v="0.05"/>
    <x v="0"/>
    <s v="Cash"/>
    <x v="2"/>
    <s v="Suramangalam"/>
    <s v="Charan"/>
    <s v="Staples"/>
    <x v="15"/>
    <x v="0"/>
    <s v="Surf"/>
    <n v="56.88"/>
    <n v="74.790000000000006"/>
    <s v="Metro Supply Co"/>
    <s v="Karthik Shree"/>
    <s v="Female"/>
    <n v="53"/>
    <s v="Coimbatore"/>
    <x v="2"/>
    <d v="2026-05-02T00:00:00"/>
    <n v="140.68"/>
    <x v="75"/>
    <n v="19.885999999999981"/>
  </r>
  <r>
    <x v="76"/>
    <x v="15"/>
    <s v="30-Aug-2026"/>
    <s v="C005"/>
    <s v="P1005"/>
    <s v="P1005"/>
    <n v="2"/>
    <n v="387.49"/>
    <n v="0.15"/>
    <x v="2"/>
    <s v="Card"/>
    <x v="1"/>
    <s v="Hasthampatti"/>
    <s v="Ezhil"/>
    <s v="Staples"/>
    <x v="9"/>
    <x v="3"/>
    <s v="ITC"/>
    <n v="305.83999999999997"/>
    <n v="391.87"/>
    <s v="Kongu Distributors"/>
    <s v="Anitha M"/>
    <s v="Male"/>
    <n v="33"/>
    <s v="Dharmapuri"/>
    <x v="2"/>
    <d v="2025-03-29T00:00:00"/>
    <n v="774.98"/>
    <x v="76"/>
    <n v="47.052999999999997"/>
  </r>
  <r>
    <x v="77"/>
    <x v="11"/>
    <s v="24-Aug-2026"/>
    <s v="C006"/>
    <s v="P1026"/>
    <s v="P1026"/>
    <n v="4"/>
    <n v="257.88"/>
    <n v="0.1"/>
    <x v="1"/>
    <s v="UPI"/>
    <x v="1"/>
    <s v="Hasthampatti"/>
    <s v="Charan"/>
    <s v="Household"/>
    <x v="16"/>
    <x v="1"/>
    <s v="Aavin"/>
    <n v="216.39"/>
    <n v="279.97000000000003"/>
    <s v="Kongu Distributors"/>
    <s v="Nithya R"/>
    <s v="Male"/>
    <n v="26"/>
    <s v="Karur"/>
    <x v="0"/>
    <d v="2026-07-17T00:00:00"/>
    <n v="1031.52"/>
    <x v="77"/>
    <n v="62.808000000000106"/>
  </r>
  <r>
    <x v="78"/>
    <x v="8"/>
    <s v="17-Aug-2026"/>
    <s v="C038"/>
    <s v="P1013"/>
    <s v="P1013"/>
    <n v="6"/>
    <n v="107.74"/>
    <n v="0"/>
    <x v="2"/>
    <s v="Card"/>
    <x v="0"/>
    <s v="Fairlands"/>
    <s v="Divya"/>
    <s v="Snacks"/>
    <x v="24"/>
    <x v="2"/>
    <s v="Tata"/>
    <n v="95.3"/>
    <n v="108.26"/>
    <s v="Metro Supply Co"/>
    <s v="Keerthi R"/>
    <s v="Female"/>
    <n v="67"/>
    <s v="Dharmapuri"/>
    <x v="2"/>
    <d v="2026-02-21T00:00:00"/>
    <n v="646.43999999999994"/>
    <x v="78"/>
    <n v="74.639999999999986"/>
  </r>
  <r>
    <x v="79"/>
    <x v="27"/>
    <s v="02-Aug-2026"/>
    <s v="C040"/>
    <s v="P1029"/>
    <s v="P1029"/>
    <n v="5"/>
    <n v="140.53"/>
    <n v="0.1"/>
    <x v="1"/>
    <s v="UPI"/>
    <x v="2"/>
    <s v="Suramangalam"/>
    <s v="Asha"/>
    <s v="Household"/>
    <x v="1"/>
    <x v="1"/>
    <s v="Aachi"/>
    <n v="119.07"/>
    <n v="148.51"/>
    <s v="Salem Wholesale Mart"/>
    <s v="Divya Devi"/>
    <s v="Female"/>
    <n v="60"/>
    <s v="Karur"/>
    <x v="1"/>
    <d v="2025-10-01T00:00:00"/>
    <n v="702.65"/>
    <x v="79"/>
    <n v="37.035000000000082"/>
  </r>
  <r>
    <x v="80"/>
    <x v="15"/>
    <s v="30-Aug-2026"/>
    <s v="C059"/>
    <s v="P1023"/>
    <s v="P1023"/>
    <n v="3"/>
    <n v="142.37"/>
    <n v="0"/>
    <x v="1"/>
    <s v="UPI"/>
    <x v="0"/>
    <s v="Fairlands"/>
    <s v="Asha"/>
    <s v="Personal Care"/>
    <x v="11"/>
    <x v="5"/>
    <s v="Cavin's"/>
    <n v="124.48"/>
    <n v="146.47999999999999"/>
    <s v="Sri Ganesh Agencies"/>
    <s v="Karthik Shree"/>
    <s v="Female"/>
    <n v="53"/>
    <s v="Coimbatore"/>
    <x v="2"/>
    <d v="2026-05-02T00:00:00"/>
    <n v="427.11"/>
    <x v="80"/>
    <n v="53.670000000000016"/>
  </r>
  <r>
    <x v="81"/>
    <x v="21"/>
    <s v="20-Aug-2026"/>
    <s v="C032"/>
    <s v="P1004"/>
    <s v="P1004"/>
    <n v="1"/>
    <n v="131.77000000000001"/>
    <n v="0.1"/>
    <x v="1"/>
    <s v="UPI"/>
    <x v="1"/>
    <s v="Hasthampatti"/>
    <s v="Divya"/>
    <s v="Staples"/>
    <x v="23"/>
    <x v="3"/>
    <s v="Cavin's"/>
    <n v="111.53"/>
    <n v="140.36000000000001"/>
    <s v="Kongu Distributors"/>
    <s v="Anitha Shree"/>
    <s v="Male"/>
    <n v="63"/>
    <s v="Namakkal"/>
    <x v="0"/>
    <d v="2025-09-28T00:00:00"/>
    <n v="131.77000000000001"/>
    <x v="81"/>
    <n v="7.0630000000000166"/>
  </r>
  <r>
    <x v="82"/>
    <x v="11"/>
    <s v="24-Aug-2026"/>
    <s v="C043"/>
    <s v="P1024"/>
    <s v="P1024"/>
    <n v="6"/>
    <n v="154.41"/>
    <n v="0.05"/>
    <x v="2"/>
    <s v="Card"/>
    <x v="2"/>
    <s v="Suramangalam"/>
    <s v="Bala"/>
    <s v="Personal Care"/>
    <x v="25"/>
    <x v="5"/>
    <s v="Surf"/>
    <n v="123.62"/>
    <n v="155.08000000000001"/>
    <s v="FreshLine Traders"/>
    <s v="Harish Raj"/>
    <s v="Male"/>
    <n v="67"/>
    <s v="Namakkal"/>
    <x v="0"/>
    <d v="2026-06-06T00:00:00"/>
    <n v="926.46"/>
    <x v="82"/>
    <n v="138.41699999999992"/>
  </r>
  <r>
    <x v="83"/>
    <x v="3"/>
    <s v="27-Aug-2026"/>
    <s v="C042"/>
    <s v="P1004"/>
    <s v="P1004"/>
    <n v="4"/>
    <n v="136.04"/>
    <n v="0"/>
    <x v="1"/>
    <s v="UPI"/>
    <x v="2"/>
    <s v="Suramangalam"/>
    <s v="Charan"/>
    <s v="Staples"/>
    <x v="23"/>
    <x v="3"/>
    <s v="Cavin's"/>
    <n v="111.53"/>
    <n v="140.36000000000001"/>
    <s v="Kongu Distributors"/>
    <s v="Deepa Raj"/>
    <s v="Male"/>
    <n v="32"/>
    <s v="Salem"/>
    <x v="1"/>
    <d v="2026-02-13T00:00:00"/>
    <n v="544.16"/>
    <x v="83"/>
    <n v="98.039999999999964"/>
  </r>
  <r>
    <x v="84"/>
    <x v="2"/>
    <s v="14-Aug-2026"/>
    <s v="C029"/>
    <s v="P1015"/>
    <s v="P1015"/>
    <n v="2"/>
    <n v="162.38999999999999"/>
    <n v="0"/>
    <x v="2"/>
    <s v="Card"/>
    <x v="1"/>
    <s v="Hasthampatti"/>
    <s v="Ezhil"/>
    <s v="Snacks"/>
    <x v="4"/>
    <x v="2"/>
    <s v="HUL"/>
    <n v="129.75"/>
    <n v="164.29"/>
    <s v="Kongu Distributors"/>
    <s v="Meena M"/>
    <s v="Female"/>
    <n v="36"/>
    <s v="Erode"/>
    <x v="0"/>
    <d v="2026-07-11T00:00:00"/>
    <n v="324.77999999999997"/>
    <x v="84"/>
    <n v="65.279999999999973"/>
  </r>
  <r>
    <x v="85"/>
    <x v="34"/>
    <s v="23-Aug-2026"/>
    <s v="C004"/>
    <s v="P1013"/>
    <s v="P1013"/>
    <n v="3"/>
    <n v="101.24"/>
    <n v="0"/>
    <x v="0"/>
    <s v="Cash"/>
    <x v="0"/>
    <s v="Fairlands"/>
    <s v="Bala"/>
    <s v="Snacks"/>
    <x v="24"/>
    <x v="2"/>
    <s v="Tata"/>
    <n v="95.3"/>
    <n v="108.26"/>
    <s v="Metro Supply Co"/>
    <s v="Arun Shree"/>
    <s v="Female"/>
    <n v="49"/>
    <s v="Salem"/>
    <x v="0"/>
    <d v="2026-01-07T00:00:00"/>
    <n v="303.71999999999997"/>
    <x v="85"/>
    <n v="17.819999999999993"/>
  </r>
  <r>
    <x v="86"/>
    <x v="27"/>
    <s v="02-Aug-2026"/>
    <s v="C004"/>
    <s v="P1026"/>
    <s v="P1026"/>
    <n v="3"/>
    <n v="263.02999999999997"/>
    <n v="0"/>
    <x v="2"/>
    <s v="Card"/>
    <x v="0"/>
    <s v="Fairlands"/>
    <s v="Asha"/>
    <s v="Household"/>
    <x v="16"/>
    <x v="1"/>
    <s v="Aavin"/>
    <n v="216.39"/>
    <n v="279.97000000000003"/>
    <s v="Kongu Distributors"/>
    <s v="Arun Shree"/>
    <s v="Female"/>
    <n v="49"/>
    <s v="Salem"/>
    <x v="0"/>
    <d v="2026-01-07T00:00:00"/>
    <n v="789.08999999999992"/>
    <x v="86"/>
    <n v="139.91999999999996"/>
  </r>
  <r>
    <x v="87"/>
    <x v="29"/>
    <s v="05-Sep-2026"/>
    <s v="C014"/>
    <s v="P1019"/>
    <s v="P1019"/>
    <n v="2"/>
    <n v="379.48"/>
    <n v="0"/>
    <x v="0"/>
    <s v="Cash"/>
    <x v="0"/>
    <s v="Fairlands"/>
    <s v="Ezhil"/>
    <s v="Beverages"/>
    <x v="12"/>
    <x v="4"/>
    <s v="Aachi"/>
    <n v="293.20999999999998"/>
    <n v="385.24"/>
    <s v="Kongu Distributors"/>
    <s v="Priya Kumar"/>
    <s v="Female"/>
    <n v="64"/>
    <s v="Namakkal"/>
    <x v="1"/>
    <d v="2025-04-22T00:00:00"/>
    <n v="758.96"/>
    <x v="87"/>
    <n v="172.54000000000008"/>
  </r>
  <r>
    <x v="88"/>
    <x v="4"/>
    <s v="01-Aug-2026"/>
    <s v="C018"/>
    <s v="P1028"/>
    <s v="P1028"/>
    <n v="2"/>
    <n v="52.54"/>
    <n v="0.1"/>
    <x v="0"/>
    <s v="Cash"/>
    <x v="0"/>
    <s v="Fairlands"/>
    <s v="Asha"/>
    <s v="Household"/>
    <x v="18"/>
    <x v="1"/>
    <s v="LocalFresh"/>
    <n v="43.54"/>
    <n v="52.59"/>
    <s v="Sri Ganesh Agencies"/>
    <s v="Nithya M"/>
    <s v="Female"/>
    <n v="21"/>
    <s v="Erode"/>
    <x v="0"/>
    <d v="2026-02-04T00:00:00"/>
    <n v="105.08"/>
    <x v="88"/>
    <n v="7.4920000000000044"/>
  </r>
  <r>
    <x v="89"/>
    <x v="27"/>
    <s v="02-Aug-2026"/>
    <s v="C009"/>
    <s v="P1001"/>
    <s v="P1001"/>
    <n v="3"/>
    <n v="304.44"/>
    <n v="0"/>
    <x v="2"/>
    <s v="Card"/>
    <x v="1"/>
    <s v="Hasthampatti"/>
    <s v="Asha"/>
    <s v="Staples"/>
    <x v="5"/>
    <x v="3"/>
    <s v="Nestle"/>
    <n v="275.05"/>
    <n v="309.64"/>
    <s v="Kongu Distributors"/>
    <s v="Keerthi R"/>
    <s v="Female"/>
    <n v="19"/>
    <s v="Dharmapuri"/>
    <x v="1"/>
    <d v="2025-08-14T00:00:00"/>
    <n v="913.31999999999994"/>
    <x v="89"/>
    <n v="88.169999999999845"/>
  </r>
  <r>
    <x v="90"/>
    <x v="35"/>
    <s v="12-Aug-2026"/>
    <s v="C017"/>
    <s v="P1002"/>
    <s v="P1002"/>
    <n v="2"/>
    <n v="136.04"/>
    <n v="0.1"/>
    <x v="1"/>
    <s v="UPI"/>
    <x v="2"/>
    <s v="Suramangalam"/>
    <s v="Asha"/>
    <s v="Staples"/>
    <x v="26"/>
    <x v="3"/>
    <s v="Cavin's"/>
    <n v="107.73"/>
    <n v="138.91"/>
    <s v="Salem Wholesale Mart"/>
    <s v="Priya Kumar"/>
    <s v="Male"/>
    <n v="23"/>
    <s v="Erode"/>
    <x v="0"/>
    <d v="2026-05-13T00:00:00"/>
    <n v="272.08"/>
    <x v="90"/>
    <n v="29.411999999999978"/>
  </r>
  <r>
    <x v="91"/>
    <x v="23"/>
    <s v="31-Aug-2026"/>
    <s v="C029"/>
    <s v="P1025"/>
    <s v="P1025"/>
    <n v="3"/>
    <n v="212.06"/>
    <n v="0"/>
    <x v="0"/>
    <s v="Cash"/>
    <x v="2"/>
    <s v="Suramangalam"/>
    <s v="Bala"/>
    <s v="Personal Care"/>
    <x v="21"/>
    <x v="5"/>
    <s v="Britannia"/>
    <n v="163.52000000000001"/>
    <n v="220.65"/>
    <s v="Sri Ganesh Agencies"/>
    <s v="Meena M"/>
    <s v="Female"/>
    <n v="36"/>
    <s v="Erode"/>
    <x v="0"/>
    <d v="2026-07-11T00:00:00"/>
    <n v="636.18000000000006"/>
    <x v="91"/>
    <n v="145.62"/>
  </r>
  <r>
    <x v="92"/>
    <x v="33"/>
    <s v="03-Aug-2026"/>
    <s v="C047"/>
    <s v="P1026"/>
    <s v="P1026"/>
    <n v="6"/>
    <n v="269.25"/>
    <n v="0.05"/>
    <x v="2"/>
    <s v="Card"/>
    <x v="0"/>
    <s v="Fairlands"/>
    <s v="Asha"/>
    <s v="Household"/>
    <x v="16"/>
    <x v="1"/>
    <s v="Aavin"/>
    <n v="216.39"/>
    <n v="279.97000000000003"/>
    <s v="Kongu Distributors"/>
    <s v="Swetha Kumar"/>
    <s v="Male"/>
    <n v="41"/>
    <s v="Coimbatore"/>
    <x v="0"/>
    <d v="2025-12-05T00:00:00"/>
    <n v="1615.5"/>
    <x v="92"/>
    <n v="236.38499999999999"/>
  </r>
  <r>
    <x v="93"/>
    <x v="23"/>
    <s v="31-Aug-2026"/>
    <s v="C055"/>
    <s v="P1013"/>
    <s v="P1013"/>
    <n v="4"/>
    <n v="105.54"/>
    <n v="0.05"/>
    <x v="2"/>
    <s v="Card"/>
    <x v="1"/>
    <s v="Hasthampatti"/>
    <s v="Asha"/>
    <s v="Snacks"/>
    <x v="24"/>
    <x v="2"/>
    <s v="Tata"/>
    <n v="95.3"/>
    <n v="108.26"/>
    <s v="Metro Supply Co"/>
    <s v="Karthik Selvam"/>
    <s v="Male"/>
    <n v="63"/>
    <s v="Karur"/>
    <x v="0"/>
    <d v="2026-02-14T00:00:00"/>
    <n v="422.16"/>
    <x v="93"/>
    <n v="19.852000000000032"/>
  </r>
  <r>
    <x v="94"/>
    <x v="30"/>
    <s v="06-Aug-2026"/>
    <s v="C021"/>
    <s v="P1020"/>
    <s v="P1020"/>
    <n v="2"/>
    <n v="420.69"/>
    <n v="0"/>
    <x v="2"/>
    <s v="Card"/>
    <x v="2"/>
    <s v="Suramangalam"/>
    <s v="Ezhil"/>
    <s v="Beverages"/>
    <x v="10"/>
    <x v="4"/>
    <s v="ITC"/>
    <n v="348.36"/>
    <n v="454.67"/>
    <s v="Metro Supply Co"/>
    <s v="Gayathri Kumar"/>
    <s v="Female"/>
    <n v="21"/>
    <s v="Salem"/>
    <x v="1"/>
    <d v="2026-05-30T00:00:00"/>
    <n v="841.38"/>
    <x v="94"/>
    <n v="144.65999999999997"/>
  </r>
  <r>
    <x v="95"/>
    <x v="29"/>
    <s v="05-Sep-2026"/>
    <s v="C046"/>
    <s v="P1011"/>
    <s v="P1011"/>
    <n v="4"/>
    <n v="493.71"/>
    <n v="0.1"/>
    <x v="2"/>
    <s v="Card"/>
    <x v="1"/>
    <s v="Hasthampatti"/>
    <s v="Ezhil"/>
    <s v="Dairy"/>
    <x v="6"/>
    <x v="0"/>
    <s v="Cavin's"/>
    <n v="409.19"/>
    <n v="493.92"/>
    <s v="Metro Supply Co"/>
    <s v="Harish Selvam"/>
    <s v="Male"/>
    <n v="42"/>
    <s v="Dharmapuri"/>
    <x v="0"/>
    <d v="2025-02-15T00:00:00"/>
    <n v="1974.84"/>
    <x v="95"/>
    <n v="140.596"/>
  </r>
  <r>
    <x v="96"/>
    <x v="25"/>
    <s v="28-Aug-2026"/>
    <s v="C007"/>
    <s v="P1026"/>
    <s v="P1026"/>
    <n v="6"/>
    <n v="260.14"/>
    <n v="0.15"/>
    <x v="2"/>
    <s v="Card"/>
    <x v="2"/>
    <s v="Suramangalam"/>
    <s v="Bala"/>
    <s v="Household"/>
    <x v="16"/>
    <x v="1"/>
    <s v="Aavin"/>
    <n v="216.39"/>
    <n v="279.97000000000003"/>
    <s v="Kongu Distributors"/>
    <s v="Divya Raj"/>
    <s v="Female"/>
    <n v="31"/>
    <s v="Dharmapuri"/>
    <x v="1"/>
    <d v="2025-07-25T00:00:00"/>
    <n v="1560.84"/>
    <x v="96"/>
    <n v="28.374000000000024"/>
  </r>
  <r>
    <x v="97"/>
    <x v="25"/>
    <s v="28-Aug-2026"/>
    <s v="C029"/>
    <s v="P1029"/>
    <s v="P1029"/>
    <n v="2"/>
    <n v="141.55000000000001"/>
    <n v="0.05"/>
    <x v="0"/>
    <s v="Cash"/>
    <x v="1"/>
    <s v="Hasthampatti"/>
    <s v="Asha"/>
    <s v="Household"/>
    <x v="1"/>
    <x v="1"/>
    <s v="Aachi"/>
    <n v="119.07"/>
    <n v="148.51"/>
    <s v="Salem Wholesale Mart"/>
    <s v="Meena M"/>
    <s v="Female"/>
    <n v="36"/>
    <s v="Erode"/>
    <x v="0"/>
    <d v="2026-07-11T00:00:00"/>
    <n v="283.10000000000002"/>
    <x v="97"/>
    <n v="30.805000000000007"/>
  </r>
  <r>
    <x v="98"/>
    <x v="28"/>
    <s v="21-Aug-2026"/>
    <s v="C028"/>
    <s v="P1011"/>
    <s v="P1011"/>
    <n v="6"/>
    <n v="464.48"/>
    <n v="0.1"/>
    <x v="2"/>
    <s v="Card"/>
    <x v="1"/>
    <s v="Hasthampatti"/>
    <s v="Asha"/>
    <s v="Dairy"/>
    <x v="6"/>
    <x v="0"/>
    <s v="Cavin's"/>
    <n v="409.19"/>
    <n v="493.92"/>
    <s v="Metro Supply Co"/>
    <s v="Meena Priyan"/>
    <s v="Male"/>
    <n v="50"/>
    <s v="Namakkal"/>
    <x v="0"/>
    <d v="2025-12-24T00:00:00"/>
    <n v="2786.88"/>
    <x v="98"/>
    <n v="53.052000000000135"/>
  </r>
  <r>
    <x v="99"/>
    <x v="30"/>
    <s v="06-Aug-2026"/>
    <s v="C054"/>
    <s v="P1003"/>
    <s v="P1003"/>
    <n v="1"/>
    <n v="274.81"/>
    <n v="0.15"/>
    <x v="2"/>
    <s v="Card"/>
    <x v="1"/>
    <s v="Hasthampatti"/>
    <s v="Bala"/>
    <s v="Staples"/>
    <x v="7"/>
    <x v="3"/>
    <s v="Aavin"/>
    <n v="255.38"/>
    <n v="287.89"/>
    <s v="Kongu Distributors"/>
    <s v="Naveen S"/>
    <s v="Male"/>
    <n v="20"/>
    <s v="Erode"/>
    <x v="2"/>
    <d v="2025-03-16T00:00:00"/>
    <n v="274.81"/>
    <x v="99"/>
    <n v="-21.791500000000013"/>
  </r>
  <r>
    <x v="100"/>
    <x v="29"/>
    <s v="2026-09-05"/>
    <s v="C004"/>
    <s v="P1019"/>
    <s v="P1019"/>
    <n v="5"/>
    <n v="371.73"/>
    <n v="0.15"/>
    <x v="1"/>
    <s v="UPI"/>
    <x v="1"/>
    <s v="Hasthampatti"/>
    <s v="Charan"/>
    <s v="Beverages"/>
    <x v="12"/>
    <x v="4"/>
    <s v="Aachi"/>
    <n v="293.20999999999998"/>
    <n v="385.24"/>
    <s v="Kongu Distributors"/>
    <s v="Arun Shree"/>
    <s v="Female"/>
    <n v="49"/>
    <s v="Salem"/>
    <x v="0"/>
    <d v="2026-01-07T00:00:00"/>
    <n v="1858.65"/>
    <x v="100"/>
    <n v="113.80250000000001"/>
  </r>
  <r>
    <x v="101"/>
    <x v="25"/>
    <s v="28-Aug-2026"/>
    <s v="C056"/>
    <s v="P1030"/>
    <s v="P1030"/>
    <n v="6"/>
    <n v="335.61"/>
    <n v="0"/>
    <x v="2"/>
    <s v="Card"/>
    <x v="1"/>
    <s v="Hasthampatti"/>
    <s v="Charan"/>
    <s v="Household"/>
    <x v="14"/>
    <x v="1"/>
    <s v="Nestle"/>
    <n v="292.05"/>
    <n v="363.17"/>
    <s v="Metro Supply Co"/>
    <s v="Keerthi S"/>
    <s v="Male"/>
    <n v="66"/>
    <s v="Salem"/>
    <x v="1"/>
    <d v="2025-08-13T00:00:00"/>
    <n v="2013.66"/>
    <x v="101"/>
    <n v="261.3599999999999"/>
  </r>
  <r>
    <x v="102"/>
    <x v="12"/>
    <s v="07-Aug-2026"/>
    <s v="C037"/>
    <s v="P1017"/>
    <s v="P1017"/>
    <n v="2"/>
    <n v="284.14999999999998"/>
    <n v="0.05"/>
    <x v="1"/>
    <s v="UPI"/>
    <x v="0"/>
    <s v="Fairlands"/>
    <s v="Charan"/>
    <s v="Beverages"/>
    <x v="19"/>
    <x v="4"/>
    <s v="Tata"/>
    <n v="262.87"/>
    <n v="304.76"/>
    <s v="Kongu Distributors"/>
    <s v="Kavin Raj"/>
    <s v="Female"/>
    <n v="68"/>
    <s v="Salem"/>
    <x v="2"/>
    <d v="2025-08-04T00:00:00"/>
    <n v="568.29999999999995"/>
    <x v="102"/>
    <n v="14.144999999999868"/>
  </r>
  <r>
    <x v="103"/>
    <x v="29"/>
    <s v="05-Sep-2026"/>
    <s v="C024"/>
    <s v="P1004"/>
    <s v="P1004"/>
    <n v="3"/>
    <n v="135.58000000000001"/>
    <n v="0.05"/>
    <x v="2"/>
    <s v="Card"/>
    <x v="2"/>
    <s v="Suramangalam"/>
    <s v="Ezhil"/>
    <s v="Staples"/>
    <x v="23"/>
    <x v="3"/>
    <s v="Cavin's"/>
    <n v="111.53"/>
    <n v="140.36000000000001"/>
    <s v="Kongu Distributors"/>
    <s v="Keerthi Shree"/>
    <s v="Male"/>
    <n v="57"/>
    <s v="Salem"/>
    <x v="0"/>
    <d v="2026-08-21T00:00:00"/>
    <n v="406.74"/>
    <x v="103"/>
    <n v="51.812999999999931"/>
  </r>
  <r>
    <x v="104"/>
    <x v="29"/>
    <s v="05-Sep-2026"/>
    <s v="C002"/>
    <s v="P1020"/>
    <s v="P1020"/>
    <n v="6"/>
    <n v="448.47"/>
    <n v="0"/>
    <x v="1"/>
    <s v="UPI"/>
    <x v="0"/>
    <s v="Fairlands"/>
    <s v="Charan"/>
    <s v="Beverages"/>
    <x v="10"/>
    <x v="4"/>
    <s v="ITC"/>
    <n v="348.36"/>
    <n v="454.67"/>
    <s v="Metro Supply Co"/>
    <s v="Praveen S"/>
    <s v="Male"/>
    <n v="58"/>
    <s v="Namakkal"/>
    <x v="1"/>
    <d v="2026-06-04T00:00:00"/>
    <n v="2690.82"/>
    <x v="104"/>
    <n v="600.66000000000031"/>
  </r>
  <r>
    <x v="105"/>
    <x v="21"/>
    <s v="20-Aug-2026"/>
    <s v="C059"/>
    <s v="P1011"/>
    <s v="P1011"/>
    <n v="3"/>
    <n v="454.65"/>
    <n v="0"/>
    <x v="2"/>
    <s v="Card"/>
    <x v="2"/>
    <s v="Suramangalam"/>
    <s v="Divya"/>
    <s v="Dairy"/>
    <x v="6"/>
    <x v="0"/>
    <s v="Cavin's"/>
    <n v="409.19"/>
    <n v="493.92"/>
    <s v="Metro Supply Co"/>
    <s v="Karthik Shree"/>
    <s v="Female"/>
    <n v="53"/>
    <s v="Coimbatore"/>
    <x v="2"/>
    <d v="2026-05-02T00:00:00"/>
    <n v="1363.9499999999998"/>
    <x v="105"/>
    <n v="136.37999999999988"/>
  </r>
  <r>
    <x v="106"/>
    <x v="9"/>
    <s v="05-Aug-2026"/>
    <s v="C010"/>
    <s v="P1024"/>
    <s v="P1024"/>
    <n v="6"/>
    <n v="154.72999999999999"/>
    <n v="0"/>
    <x v="2"/>
    <s v="Card"/>
    <x v="2"/>
    <s v="Suramangalam"/>
    <s v="Bala"/>
    <s v="Personal Care"/>
    <x v="25"/>
    <x v="5"/>
    <s v="Surf"/>
    <n v="123.62"/>
    <n v="155.08000000000001"/>
    <s v="FreshLine Traders"/>
    <s v="Arun R"/>
    <s v="Male"/>
    <n v="32"/>
    <s v="Salem"/>
    <x v="2"/>
    <d v="2025-12-05T00:00:00"/>
    <n v="928.37999999999988"/>
    <x v="106"/>
    <n v="186.65999999999985"/>
  </r>
  <r>
    <x v="107"/>
    <x v="18"/>
    <s v="25-Aug-2026"/>
    <s v="Guest"/>
    <s v="P1015"/>
    <s v="P1015"/>
    <n v="3"/>
    <n v="153.22"/>
    <n v="0"/>
    <x v="2"/>
    <s v="Card"/>
    <x v="1"/>
    <s v="Hasthampatti"/>
    <s v="Ezhil"/>
    <s v="Snacks"/>
    <x v="4"/>
    <x v="2"/>
    <s v="HUL"/>
    <n v="129.75"/>
    <n v="164.29"/>
    <s v="Kongu Distributors"/>
    <s v="Guest"/>
    <s v="Guest"/>
    <s v="Guest"/>
    <s v="Guest"/>
    <x v="3"/>
    <s v="Guest"/>
    <n v="459.65999999999997"/>
    <x v="107"/>
    <n v="70.409999999999968"/>
  </r>
  <r>
    <x v="108"/>
    <x v="30"/>
    <s v="06-Aug-2026"/>
    <s v="C057"/>
    <s v="P1002"/>
    <s v="P1002"/>
    <n v="2"/>
    <n v="129.55000000000001"/>
    <n v="0.1"/>
    <x v="1"/>
    <s v="UPI"/>
    <x v="2"/>
    <s v="Suramangalam"/>
    <s v="Asha"/>
    <s v="Staples"/>
    <x v="26"/>
    <x v="3"/>
    <s v="Cavin's"/>
    <n v="107.73"/>
    <n v="138.91"/>
    <s v="Salem Wholesale Mart"/>
    <s v="Divya Priyan"/>
    <s v="Female"/>
    <n v="21"/>
    <s v="Dharmapuri"/>
    <x v="0"/>
    <d v="2025-05-05T00:00:00"/>
    <n v="259.10000000000002"/>
    <x v="108"/>
    <n v="17.730000000000018"/>
  </r>
  <r>
    <x v="109"/>
    <x v="31"/>
    <s v="18-Aug-2026"/>
    <s v="C029"/>
    <s v="P1022"/>
    <s v="P1022"/>
    <n v="4"/>
    <n v="122.52"/>
    <n v="0.05"/>
    <x v="0"/>
    <s v="Cash"/>
    <x v="1"/>
    <s v="Hasthampatti"/>
    <s v="Bala"/>
    <s v="Personal Care"/>
    <x v="20"/>
    <x v="5"/>
    <s v="LocalFresh"/>
    <n v="103.48"/>
    <n v="127.78"/>
    <s v="Kongu Distributors"/>
    <s v="Meena M"/>
    <s v="Female"/>
    <n v="36"/>
    <s v="Erode"/>
    <x v="0"/>
    <d v="2026-07-11T00:00:00"/>
    <n v="490.08"/>
    <x v="109"/>
    <n v="51.655999999999949"/>
  </r>
  <r>
    <x v="110"/>
    <x v="14"/>
    <s v="02-Sep-2026"/>
    <s v="C008"/>
    <s v="P1012"/>
    <s v="P1012"/>
    <n v="4"/>
    <n v="412.03"/>
    <n v="0.15"/>
    <x v="2"/>
    <s v="Card"/>
    <x v="2"/>
    <s v="Suramangalam"/>
    <s v="Divya"/>
    <s v="Snacks"/>
    <x v="27"/>
    <x v="2"/>
    <s v="HUL"/>
    <n v="351.42"/>
    <n v="443.58"/>
    <s v="Sri Ganesh Agencies"/>
    <s v="Anitha Selvam"/>
    <s v="Female"/>
    <n v="46"/>
    <s v="Dharmapuri"/>
    <x v="0"/>
    <d v="2025-09-11T00:00:00"/>
    <n v="1648.12"/>
    <x v="110"/>
    <n v="-4.7780000000002474"/>
  </r>
  <r>
    <x v="111"/>
    <x v="20"/>
    <s v="03-Sep-2026"/>
    <s v="C043"/>
    <s v="P1010"/>
    <s v="P1010"/>
    <n v="1"/>
    <n v="413.55"/>
    <n v="0.1"/>
    <x v="1"/>
    <s v="UPI"/>
    <x v="0"/>
    <s v="Fairlands"/>
    <s v="Bala"/>
    <s v="Dairy"/>
    <x v="3"/>
    <x v="0"/>
    <s v="Cavin's"/>
    <n v="342.47"/>
    <n v="441.05"/>
    <s v="Salem Wholesale Mart"/>
    <s v="Harish Raj"/>
    <s v="Male"/>
    <n v="67"/>
    <s v="Namakkal"/>
    <x v="0"/>
    <d v="2026-06-06T00:00:00"/>
    <n v="413.55"/>
    <x v="111"/>
    <n v="29.724999999999966"/>
  </r>
  <r>
    <x v="112"/>
    <x v="21"/>
    <s v="20-Aug-2026"/>
    <s v="C014"/>
    <s v="P1025"/>
    <s v="P1025"/>
    <n v="2"/>
    <n v="216.49"/>
    <n v="0"/>
    <x v="0"/>
    <s v="Cash"/>
    <x v="0"/>
    <s v="Fairlands"/>
    <s v="Asha"/>
    <s v="Personal Care"/>
    <x v="21"/>
    <x v="5"/>
    <s v="Britannia"/>
    <n v="163.52000000000001"/>
    <n v="220.65"/>
    <s v="Sri Ganesh Agencies"/>
    <s v="Priya Kumar"/>
    <s v="Female"/>
    <n v="64"/>
    <s v="Namakkal"/>
    <x v="1"/>
    <d v="2025-04-22T00:00:00"/>
    <n v="432.98"/>
    <x v="112"/>
    <n v="105.94"/>
  </r>
  <r>
    <x v="113"/>
    <x v="0"/>
    <s v="01-Sep-2026"/>
    <s v="C048"/>
    <s v="P1014"/>
    <s v="P1014"/>
    <n v="2"/>
    <n v="507.22"/>
    <n v="0.1"/>
    <x v="2"/>
    <s v="Card"/>
    <x v="0"/>
    <s v="Fairlands"/>
    <s v="Ezhil"/>
    <s v="Snacks"/>
    <x v="2"/>
    <x v="2"/>
    <s v="Aavin"/>
    <n v="414.06"/>
    <n v="545.20000000000005"/>
    <s v="FreshLine Traders"/>
    <s v="Janani Devi"/>
    <s v="Male"/>
    <n v="64"/>
    <s v="Namakkal"/>
    <x v="0"/>
    <d v="2026-02-23T00:00:00"/>
    <n v="1014.44"/>
    <x v="113"/>
    <n v="84.87600000000009"/>
  </r>
  <r>
    <x v="114"/>
    <x v="29"/>
    <s v="05-Sep-2026"/>
    <s v="C054"/>
    <s v="P1022"/>
    <s v="P1022"/>
    <n v="3"/>
    <n v="118.29"/>
    <n v="0.15"/>
    <x v="1"/>
    <s v="UPI"/>
    <x v="1"/>
    <s v="Hasthampatti"/>
    <s v="Asha"/>
    <s v="Personal Care"/>
    <x v="20"/>
    <x v="5"/>
    <s v="LocalFresh"/>
    <n v="103.48"/>
    <n v="127.78"/>
    <s v="Kongu Distributors"/>
    <s v="Naveen S"/>
    <s v="Male"/>
    <n v="20"/>
    <s v="Erode"/>
    <x v="2"/>
    <d v="2025-03-16T00:00:00"/>
    <n v="354.87"/>
    <x v="114"/>
    <n v="-8.8004999999999995"/>
  </r>
  <r>
    <x v="115"/>
    <x v="15"/>
    <s v="30-Aug-2026"/>
    <s v="C059"/>
    <s v="P1003"/>
    <s v="P1003"/>
    <n v="3"/>
    <n v="278.12"/>
    <n v="0.1"/>
    <x v="0"/>
    <s v="Cash"/>
    <x v="2"/>
    <s v="Suramangalam"/>
    <s v="Divya"/>
    <s v="Staples"/>
    <x v="7"/>
    <x v="3"/>
    <s v="Aavin"/>
    <n v="255.38"/>
    <n v="287.89"/>
    <s v="Kongu Distributors"/>
    <s v="Karthik Shree"/>
    <s v="Female"/>
    <n v="53"/>
    <s v="Coimbatore"/>
    <x v="2"/>
    <d v="2026-05-02T00:00:00"/>
    <n v="834.36"/>
    <x v="115"/>
    <n v="-15.216000000000008"/>
  </r>
  <r>
    <x v="116"/>
    <x v="32"/>
    <s v="19-Aug-2026"/>
    <s v="C008"/>
    <s v="P1013"/>
    <s v="P1013"/>
    <n v="1"/>
    <n v="107.97"/>
    <n v="0"/>
    <x v="2"/>
    <s v="Card"/>
    <x v="1"/>
    <s v="Hasthampatti"/>
    <s v="Charan"/>
    <s v="Snacks"/>
    <x v="24"/>
    <x v="2"/>
    <s v="Tata"/>
    <n v="95.3"/>
    <n v="108.26"/>
    <s v="Metro Supply Co"/>
    <s v="Anitha Selvam"/>
    <s v="Female"/>
    <n v="46"/>
    <s v="Dharmapuri"/>
    <x v="0"/>
    <d v="2025-09-11T00:00:00"/>
    <n v="107.97"/>
    <x v="116"/>
    <n v="12.670000000000002"/>
  </r>
  <r>
    <x v="117"/>
    <x v="30"/>
    <s v="06-Aug-2026"/>
    <s v="C028"/>
    <s v="P1028"/>
    <s v="P1028"/>
    <n v="1"/>
    <n v="49.41"/>
    <n v="0.1"/>
    <x v="0"/>
    <s v="Cash"/>
    <x v="2"/>
    <s v="Suramangalam"/>
    <s v="Asha"/>
    <s v="Household"/>
    <x v="18"/>
    <x v="1"/>
    <s v="LocalFresh"/>
    <n v="43.54"/>
    <n v="52.59"/>
    <s v="Sri Ganesh Agencies"/>
    <s v="Meena Priyan"/>
    <s v="Male"/>
    <n v="50"/>
    <s v="Namakkal"/>
    <x v="0"/>
    <d v="2025-12-24T00:00:00"/>
    <n v="49.41"/>
    <x v="117"/>
    <n v="0.92900000000000205"/>
  </r>
  <r>
    <x v="118"/>
    <x v="24"/>
    <s v="26/08/2026"/>
    <s v="C056"/>
    <s v="P1010"/>
    <s v="P1010"/>
    <n v="6"/>
    <n v="417.75"/>
    <n v="0"/>
    <x v="1"/>
    <s v="UPI"/>
    <x v="0"/>
    <s v="Fairlands"/>
    <s v="Ezhil"/>
    <s v="Dairy"/>
    <x v="3"/>
    <x v="0"/>
    <s v="Cavin's"/>
    <n v="342.47"/>
    <n v="441.05"/>
    <s v="Salem Wholesale Mart"/>
    <s v="Keerthi S"/>
    <s v="Male"/>
    <n v="66"/>
    <s v="Salem"/>
    <x v="1"/>
    <d v="2025-08-13T00:00:00"/>
    <n v="2506.5"/>
    <x v="118"/>
    <n v="451.67999999999984"/>
  </r>
  <r>
    <x v="119"/>
    <x v="13"/>
    <s v="08-Aug-2026"/>
    <s v="C034"/>
    <s v="P1017"/>
    <s v="P1017"/>
    <n v="2"/>
    <n v="302.47000000000003"/>
    <n v="0"/>
    <x v="0"/>
    <s v="Cash"/>
    <x v="2"/>
    <s v="Suramangalam"/>
    <s v="Bala"/>
    <s v="Beverages"/>
    <x v="19"/>
    <x v="4"/>
    <s v="Tata"/>
    <n v="262.87"/>
    <n v="304.76"/>
    <s v="Kongu Distributors"/>
    <s v="Kavin Kumar"/>
    <s v="Female"/>
    <n v="67"/>
    <s v="Erode"/>
    <x v="1"/>
    <d v="2025-09-26T00:00:00"/>
    <n v="604.94000000000005"/>
    <x v="119"/>
    <n v="79.200000000000045"/>
  </r>
  <r>
    <x v="120"/>
    <x v="17"/>
    <s v="16-Aug-2026"/>
    <s v="C007"/>
    <s v="P1005"/>
    <s v="P1005"/>
    <n v="3"/>
    <n v="366.7"/>
    <n v="0.1"/>
    <x v="1"/>
    <s v="UPI"/>
    <x v="2"/>
    <s v="Suramangalam"/>
    <s v="Asha"/>
    <s v="Staples"/>
    <x v="9"/>
    <x v="3"/>
    <s v="ITC"/>
    <n v="305.83999999999997"/>
    <n v="391.87"/>
    <s v="Kongu Distributors"/>
    <s v="Divya Raj"/>
    <s v="Female"/>
    <n v="31"/>
    <s v="Dharmapuri"/>
    <x v="1"/>
    <d v="2025-07-25T00:00:00"/>
    <n v="1100.0999999999999"/>
    <x v="120"/>
    <n v="72.569999999999936"/>
  </r>
  <r>
    <x v="121"/>
    <x v="35"/>
    <s v="12-Aug-2026"/>
    <s v="C050"/>
    <s v="P1021"/>
    <s v="P1021"/>
    <n v="4"/>
    <n v="56.79"/>
    <n v="0.1"/>
    <x v="2"/>
    <s v="Card"/>
    <x v="1"/>
    <s v="Hasthampatti"/>
    <s v="Ezhil"/>
    <s v="Beverages"/>
    <x v="8"/>
    <x v="4"/>
    <s v="Surf"/>
    <n v="44.61"/>
    <n v="59.33"/>
    <s v="Metro Supply Co"/>
    <s v="Divya Shree"/>
    <s v="Female"/>
    <n v="43"/>
    <s v="Dharmapuri"/>
    <x v="1"/>
    <d v="2025-11-08T00:00:00"/>
    <n v="227.16"/>
    <x v="121"/>
    <n v="26.003999999999991"/>
  </r>
  <r>
    <x v="122"/>
    <x v="28"/>
    <s v="21-Aug-2026"/>
    <s v="C056"/>
    <s v="P1021"/>
    <s v="P1021"/>
    <n v="3"/>
    <n v="55.3"/>
    <n v="0"/>
    <x v="0"/>
    <s v="Cash"/>
    <x v="1"/>
    <s v="Hasthampatti"/>
    <s v="Charan"/>
    <s v="Beverages"/>
    <x v="8"/>
    <x v="4"/>
    <s v="Surf"/>
    <n v="44.61"/>
    <n v="59.33"/>
    <s v="Metro Supply Co"/>
    <s v="Keerthi S"/>
    <s v="Male"/>
    <n v="66"/>
    <s v="Salem"/>
    <x v="1"/>
    <d v="2025-08-13T00:00:00"/>
    <n v="165.89999999999998"/>
    <x v="122"/>
    <n v="32.069999999999993"/>
  </r>
  <r>
    <x v="123"/>
    <x v="31"/>
    <s v="18-Aug-2026"/>
    <s v="C038"/>
    <s v="P1002"/>
    <s v="P1002"/>
    <n v="3"/>
    <n v="133.44"/>
    <n v="0"/>
    <x v="0"/>
    <s v="Cash"/>
    <x v="1"/>
    <s v="Hasthampatti"/>
    <s v="Asha"/>
    <s v="Staples"/>
    <x v="26"/>
    <x v="3"/>
    <s v="Cavin's"/>
    <n v="107.73"/>
    <n v="138.91"/>
    <s v="Salem Wholesale Mart"/>
    <s v="Keerthi R"/>
    <s v="Female"/>
    <n v="67"/>
    <s v="Dharmapuri"/>
    <x v="2"/>
    <d v="2026-02-21T00:00:00"/>
    <n v="400.32"/>
    <x v="123"/>
    <n v="77.13"/>
  </r>
  <r>
    <x v="124"/>
    <x v="36"/>
    <s v="04-Aug-2026"/>
    <s v="C024"/>
    <s v="P1027"/>
    <s v="P1027"/>
    <n v="3"/>
    <n v="325.89999999999998"/>
    <n v="0"/>
    <x v="2"/>
    <s v="Card"/>
    <x v="2"/>
    <s v="Suramangalam"/>
    <s v="Ezhil"/>
    <s v="Household"/>
    <x v="22"/>
    <x v="1"/>
    <s v="ITC"/>
    <n v="270.23"/>
    <n v="351.89"/>
    <s v="Sri Ganesh Agencies"/>
    <s v="Keerthi Shree"/>
    <s v="Male"/>
    <n v="57"/>
    <s v="Salem"/>
    <x v="0"/>
    <d v="2026-08-21T00:00:00"/>
    <n v="977.69999999999993"/>
    <x v="124"/>
    <n v="167.00999999999988"/>
  </r>
  <r>
    <x v="125"/>
    <x v="18"/>
    <s v="25-Aug-2026"/>
    <s v="C030"/>
    <s v="P1019"/>
    <s v="P1019"/>
    <n v="5"/>
    <n v="383.83"/>
    <n v="0.15"/>
    <x v="1"/>
    <s v="UPI"/>
    <x v="1"/>
    <s v="Hasthampatti"/>
    <s v="Ezhil"/>
    <s v="Beverages"/>
    <x v="12"/>
    <x v="4"/>
    <s v="Aachi"/>
    <n v="293.20999999999998"/>
    <n v="385.24"/>
    <s v="Kongu Distributors"/>
    <s v="Anitha Shree"/>
    <s v="Male"/>
    <n v="60"/>
    <s v="Dharmapuri"/>
    <x v="0"/>
    <d v="2025-04-17T00:00:00"/>
    <n v="1919.1499999999999"/>
    <x v="125"/>
    <n v="165.22749999999996"/>
  </r>
  <r>
    <x v="126"/>
    <x v="19"/>
    <s v="13-Aug-2026"/>
    <s v="C021"/>
    <s v="P1020"/>
    <s v="P1020"/>
    <n v="4"/>
    <n v="436.53"/>
    <n v="0"/>
    <x v="0"/>
    <s v="Cash"/>
    <x v="0"/>
    <s v="Fairlands"/>
    <s v="Charan"/>
    <s v="Beverages"/>
    <x v="10"/>
    <x v="4"/>
    <s v="ITC"/>
    <n v="348.36"/>
    <n v="454.67"/>
    <s v="Metro Supply Co"/>
    <s v="Gayathri Kumar"/>
    <s v="Female"/>
    <n v="21"/>
    <s v="Salem"/>
    <x v="1"/>
    <d v="2026-05-30T00:00:00"/>
    <n v="1746.12"/>
    <x v="126"/>
    <n v="352.67999999999984"/>
  </r>
  <r>
    <x v="127"/>
    <x v="30"/>
    <s v="06-Aug-2026"/>
    <s v="C033"/>
    <s v="P1021"/>
    <s v="P1021"/>
    <n v="2"/>
    <n v="54.77"/>
    <n v="0.15"/>
    <x v="0"/>
    <s v="Cash"/>
    <x v="1"/>
    <s v="Hasthampatti"/>
    <s v="Ezhil"/>
    <s v="Beverages"/>
    <x v="8"/>
    <x v="4"/>
    <s v="Surf"/>
    <n v="44.61"/>
    <n v="59.33"/>
    <s v="Metro Supply Co"/>
    <s v="Praveen Babu"/>
    <s v="Female"/>
    <n v="21"/>
    <s v="Salem"/>
    <x v="1"/>
    <d v="2025-10-11T00:00:00"/>
    <n v="109.54"/>
    <x v="127"/>
    <n v="3.88900000000001"/>
  </r>
  <r>
    <x v="128"/>
    <x v="20"/>
    <s v="03-Sep-2026"/>
    <s v="C040"/>
    <s v="P1006"/>
    <s v="P1006"/>
    <n v="3"/>
    <n v="223.32"/>
    <n v="0"/>
    <x v="0"/>
    <s v="Cash"/>
    <x v="1"/>
    <s v="Hasthampatti"/>
    <s v="Charan"/>
    <s v="Staples"/>
    <x v="28"/>
    <x v="3"/>
    <s v="Aachi"/>
    <n v="198.58"/>
    <n v="235.12"/>
    <s v="Kongu Distributors"/>
    <s v="Divya Devi"/>
    <s v="Female"/>
    <n v="60"/>
    <s v="Karur"/>
    <x v="1"/>
    <d v="2025-10-01T00:00:00"/>
    <n v="669.96"/>
    <x v="128"/>
    <n v="74.220000000000027"/>
  </r>
  <r>
    <x v="129"/>
    <x v="36"/>
    <s v="04-Aug-2026"/>
    <s v="C051"/>
    <s v="P1021"/>
    <s v="P1021"/>
    <n v="6"/>
    <n v="56.17"/>
    <n v="0"/>
    <x v="1"/>
    <s v="UPI"/>
    <x v="2"/>
    <s v="Suramangalam"/>
    <s v="Divya"/>
    <s v="Beverages"/>
    <x v="8"/>
    <x v="4"/>
    <s v="Surf"/>
    <n v="44.61"/>
    <n v="59.33"/>
    <s v="Metro Supply Co"/>
    <s v="Anitha M"/>
    <s v="Female"/>
    <n v="68"/>
    <s v="Dharmapuri"/>
    <x v="1"/>
    <d v="2025-11-26T00:00:00"/>
    <n v="337.02"/>
    <x v="129"/>
    <n v="69.360000000000014"/>
  </r>
  <r>
    <x v="130"/>
    <x v="32"/>
    <s v="19-Aug-2026"/>
    <s v="C017"/>
    <s v="P1024"/>
    <s v="P1024"/>
    <n v="6"/>
    <n v="154.63999999999999"/>
    <n v="0.1"/>
    <x v="1"/>
    <s v="UPI"/>
    <x v="1"/>
    <s v="Hasthampatti"/>
    <s v="Asha"/>
    <s v="Personal Care"/>
    <x v="25"/>
    <x v="5"/>
    <s v="Surf"/>
    <n v="123.62"/>
    <n v="155.08000000000001"/>
    <s v="FreshLine Traders"/>
    <s v="Priya Kumar"/>
    <s v="Male"/>
    <n v="23"/>
    <s v="Erode"/>
    <x v="0"/>
    <d v="2026-05-13T00:00:00"/>
    <n v="927.83999999999992"/>
    <x v="130"/>
    <n v="93.335999999999899"/>
  </r>
  <r>
    <x v="131"/>
    <x v="10"/>
    <s v="10-Aug-2026"/>
    <s v="C059"/>
    <s v="P1012"/>
    <s v="P1012"/>
    <n v="3"/>
    <n v="442.43"/>
    <n v="0.15"/>
    <x v="2"/>
    <s v="Card"/>
    <x v="1"/>
    <s v="Hasthampatti"/>
    <s v="Bala"/>
    <s v="Household"/>
    <x v="27"/>
    <x v="2"/>
    <s v="HUL"/>
    <n v="351.42"/>
    <n v="443.58"/>
    <s v="Sri Ganesh Agencies"/>
    <s v="Karthik Shree"/>
    <s v="Female"/>
    <n v="53"/>
    <s v="Coimbatore"/>
    <x v="2"/>
    <d v="2026-05-02T00:00:00"/>
    <n v="1327.29"/>
    <x v="131"/>
    <n v="73.936500000000024"/>
  </r>
  <r>
    <x v="132"/>
    <x v="30"/>
    <s v="06-Aug-2026"/>
    <s v="C020"/>
    <s v="P1018"/>
    <s v="P1018"/>
    <n v="4"/>
    <n v="234.07"/>
    <n v="0"/>
    <x v="1"/>
    <s v="UPI"/>
    <x v="2"/>
    <s v="Suramangalam"/>
    <s v="Ezhil"/>
    <s v="Beverages"/>
    <x v="17"/>
    <x v="4"/>
    <s v="Cavin's"/>
    <n v="203.83"/>
    <n v="240.94"/>
    <s v="Kongu Distributors"/>
    <s v="Nithya S"/>
    <s v="Male"/>
    <n v="36"/>
    <s v="Erode"/>
    <x v="2"/>
    <d v="2026-08-17T00:00:00"/>
    <n v="936.28"/>
    <x v="132"/>
    <n v="120.95999999999992"/>
  </r>
  <r>
    <x v="133"/>
    <x v="30"/>
    <s v="06-Aug-2026"/>
    <s v="C042"/>
    <s v="P1022"/>
    <s v="P1022"/>
    <n v="4"/>
    <n v="122.76"/>
    <n v="0"/>
    <x v="0"/>
    <s v="Cash"/>
    <x v="1"/>
    <s v="Hasthampatti"/>
    <s v="Bala"/>
    <s v="Personal Care"/>
    <x v="20"/>
    <x v="5"/>
    <s v="LocalFresh"/>
    <n v="103.48"/>
    <n v="127.78"/>
    <s v="Kongu Distributors"/>
    <s v="Deepa Raj"/>
    <s v="Male"/>
    <n v="32"/>
    <s v="Salem"/>
    <x v="1"/>
    <d v="2026-02-13T00:00:00"/>
    <n v="491.04"/>
    <x v="133"/>
    <n v="77.12"/>
  </r>
  <r>
    <x v="134"/>
    <x v="2"/>
    <s v="14-Aug-2026"/>
    <s v="C022"/>
    <s v="P1025"/>
    <s v="P1025"/>
    <n v="4"/>
    <n v="206.39"/>
    <n v="0"/>
    <x v="1"/>
    <s v="UPI"/>
    <x v="0"/>
    <s v="Fairlands"/>
    <s v="Charan"/>
    <s v="Personal Care"/>
    <x v="21"/>
    <x v="5"/>
    <s v="Britannia"/>
    <n v="163.52000000000001"/>
    <n v="220.65"/>
    <s v="Sri Ganesh Agencies"/>
    <s v="Praveen S"/>
    <s v="Male"/>
    <n v="50"/>
    <s v="Salem"/>
    <x v="2"/>
    <d v="2025-03-12T00:00:00"/>
    <n v="825.56"/>
    <x v="134"/>
    <n v="171.4799999999999"/>
  </r>
  <r>
    <x v="135"/>
    <x v="12"/>
    <s v="07-Aug-2026"/>
    <s v="C033"/>
    <s v="P1025"/>
    <s v="P1025"/>
    <n v="5"/>
    <n v="217.74"/>
    <n v="0.1"/>
    <x v="1"/>
    <s v="UPI"/>
    <x v="2"/>
    <s v="Suramangalam"/>
    <s v="Charan"/>
    <s v="Personal Care"/>
    <x v="21"/>
    <x v="5"/>
    <s v="Britannia"/>
    <n v="163.52000000000001"/>
    <n v="220.65"/>
    <s v="Sri Ganesh Agencies"/>
    <s v="Praveen Babu"/>
    <s v="Female"/>
    <n v="21"/>
    <s v="Salem"/>
    <x v="1"/>
    <d v="2025-10-11T00:00:00"/>
    <n v="1088.7"/>
    <x v="135"/>
    <n v="162.23000000000002"/>
  </r>
  <r>
    <x v="136"/>
    <x v="22"/>
    <s v="09-Aug-2026"/>
    <s v="C039"/>
    <s v="P1013"/>
    <s v="P1013"/>
    <n v="2"/>
    <n v="101"/>
    <n v="0.15"/>
    <x v="2"/>
    <s v="Card"/>
    <x v="0"/>
    <s v="Fairlands"/>
    <s v="Divya"/>
    <s v="Snacks"/>
    <x v="24"/>
    <x v="2"/>
    <s v="Tata"/>
    <n v="95.3"/>
    <n v="108.26"/>
    <s v="Metro Supply Co"/>
    <s v="Janani S"/>
    <s v="Male"/>
    <n v="28"/>
    <s v="Erode"/>
    <x v="2"/>
    <d v="2025-01-26T00:00:00"/>
    <n v="202"/>
    <x v="136"/>
    <n v="-18.900000000000006"/>
  </r>
  <r>
    <x v="137"/>
    <x v="33"/>
    <s v="03-Aug-2026"/>
    <s v="C027"/>
    <s v="P1012"/>
    <s v="P1012"/>
    <n v="6"/>
    <n v="433.63"/>
    <n v="0.05"/>
    <x v="2"/>
    <s v="Card"/>
    <x v="1"/>
    <s v="Hasthampatti"/>
    <s v="Divya"/>
    <s v="Snacks"/>
    <x v="27"/>
    <x v="2"/>
    <s v="HUL"/>
    <n v="351.42"/>
    <n v="443.58"/>
    <s v="Sri Ganesh Agencies"/>
    <s v="Harish R"/>
    <s v="Male"/>
    <n v="47"/>
    <s v="Dharmapuri"/>
    <x v="2"/>
    <d v="2025-04-13T00:00:00"/>
    <n v="2601.7799999999997"/>
    <x v="137"/>
    <n v="363.17099999999982"/>
  </r>
  <r>
    <x v="138"/>
    <x v="5"/>
    <s v="15-Aug-2026"/>
    <s v="C035"/>
    <s v="P1008"/>
    <s v="P1008"/>
    <n v="3"/>
    <n v="480.99"/>
    <n v="0.05"/>
    <x v="1"/>
    <s v="UPI"/>
    <x v="1"/>
    <s v="Hasthampatti"/>
    <s v="Ezhil"/>
    <s v="Dairy"/>
    <x v="0"/>
    <x v="0"/>
    <s v="Aavin"/>
    <n v="402.8"/>
    <n v="482.32"/>
    <s v="FreshLine Traders"/>
    <s v="Divya Babu"/>
    <s v="Female"/>
    <n v="53"/>
    <s v="Salem"/>
    <x v="0"/>
    <d v="2025-06-02T00:00:00"/>
    <n v="1442.97"/>
    <x v="138"/>
    <n v="162.42149999999992"/>
  </r>
  <r>
    <x v="139"/>
    <x v="26"/>
    <s v="29-Aug-2026"/>
    <s v="C030"/>
    <s v="P1025"/>
    <s v="P1025"/>
    <n v="3"/>
    <n v="216.73"/>
    <n v="0.1"/>
    <x v="2"/>
    <s v="Card"/>
    <x v="1"/>
    <s v="Hasthampatti"/>
    <s v="Bala"/>
    <s v="Personal Care"/>
    <x v="21"/>
    <x v="5"/>
    <s v="Britannia"/>
    <n v="163.52000000000001"/>
    <n v="220.65"/>
    <s v="Sri Ganesh Agencies"/>
    <s v="Anitha Shree"/>
    <s v="Male"/>
    <n v="60"/>
    <s v="Dharmapuri"/>
    <x v="0"/>
    <d v="2025-04-17T00:00:00"/>
    <n v="650.18999999999994"/>
    <x v="139"/>
    <n v="94.610999999999876"/>
  </r>
  <r>
    <x v="140"/>
    <x v="19"/>
    <s v="13-Aug-2026"/>
    <s v="C052"/>
    <s v="P1020"/>
    <s v="P1020"/>
    <n v="2"/>
    <n v="450.05"/>
    <n v="0"/>
    <x v="2"/>
    <s v="Card"/>
    <x v="1"/>
    <s v="Hasthampatti"/>
    <s v="Charan"/>
    <s v="Beverages"/>
    <x v="10"/>
    <x v="4"/>
    <s v="ITC"/>
    <n v="348.36"/>
    <n v="454.67"/>
    <s v="Metro Supply Co"/>
    <s v="Karthik Babu"/>
    <s v="Female"/>
    <n v="61"/>
    <s v="Erode"/>
    <x v="0"/>
    <d v="2025-06-23T00:00:00"/>
    <n v="900.1"/>
    <x v="140"/>
    <n v="203.38"/>
  </r>
  <r>
    <x v="141"/>
    <x v="29"/>
    <s v="05-Sep-2026"/>
    <s v="C060"/>
    <s v="P1004"/>
    <s v="P1004"/>
    <n v="6"/>
    <n v="138.63"/>
    <n v="0"/>
    <x v="0"/>
    <s v="Cash"/>
    <x v="0"/>
    <s v="Fairlands"/>
    <s v="Bala"/>
    <s v="Staples"/>
    <x v="23"/>
    <x v="3"/>
    <s v="Cavin's"/>
    <n v="111.53"/>
    <n v="140.36000000000001"/>
    <s v="Kongu Distributors"/>
    <s v="Karthik Raj"/>
    <s v="Male"/>
    <n v="58"/>
    <s v="Namakkal"/>
    <x v="1"/>
    <d v="2026-06-18T00:00:00"/>
    <n v="831.78"/>
    <x v="141"/>
    <n v="162.59999999999991"/>
  </r>
  <r>
    <x v="142"/>
    <x v="31"/>
    <s v="18-Aug-2026"/>
    <s v="C029"/>
    <s v="P1029"/>
    <s v="P1029"/>
    <n v="5"/>
    <n v="138.38"/>
    <n v="0.05"/>
    <x v="1"/>
    <s v="UPI"/>
    <x v="0"/>
    <s v="Fairlands"/>
    <s v="Divya"/>
    <s v="Household"/>
    <x v="1"/>
    <x v="1"/>
    <s v="Aachi"/>
    <n v="119.07"/>
    <n v="148.51"/>
    <s v="Salem Wholesale Mart"/>
    <s v="Meena M"/>
    <s v="Female"/>
    <n v="36"/>
    <s v="Erode"/>
    <x v="0"/>
    <d v="2026-07-11T00:00:00"/>
    <n v="691.9"/>
    <x v="142"/>
    <n v="61.955000000000041"/>
  </r>
  <r>
    <x v="143"/>
    <x v="34"/>
    <s v="23-Aug-2026"/>
    <s v="C060"/>
    <s v="P1001"/>
    <s v="P1001"/>
    <n v="4"/>
    <n v="286.19"/>
    <n v="0.1"/>
    <x v="0"/>
    <s v="Cash"/>
    <x v="0"/>
    <s v="Fairlands"/>
    <s v="Divya"/>
    <s v="Staples"/>
    <x v="5"/>
    <x v="3"/>
    <s v="Nestle"/>
    <n v="275.05"/>
    <n v="309.64"/>
    <s v="Kongu Distributors"/>
    <s v="Karthik Raj"/>
    <s v="Male"/>
    <n v="58"/>
    <s v="Namakkal"/>
    <x v="1"/>
    <d v="2026-06-18T00:00:00"/>
    <n v="1144.76"/>
    <x v="143"/>
    <n v="-69.91599999999994"/>
  </r>
  <r>
    <x v="144"/>
    <x v="30"/>
    <s v="2026-08-06"/>
    <s v="C024"/>
    <s v="P1008"/>
    <s v="P1008"/>
    <n v="1"/>
    <n v="456.03"/>
    <n v="0"/>
    <x v="2"/>
    <s v="Card"/>
    <x v="2"/>
    <s v="Suramangalam"/>
    <s v="Charan"/>
    <s v="Dairy"/>
    <x v="0"/>
    <x v="0"/>
    <s v="Aavin"/>
    <n v="402.8"/>
    <n v="482.32"/>
    <s v="FreshLine Traders"/>
    <s v="Keerthi Shree"/>
    <s v="Male"/>
    <n v="57"/>
    <s v="Salem"/>
    <x v="0"/>
    <d v="2026-08-21T00:00:00"/>
    <n v="456.03"/>
    <x v="144"/>
    <n v="53.229999999999961"/>
  </r>
  <r>
    <x v="145"/>
    <x v="10"/>
    <s v="10-Aug-2026"/>
    <s v="C009"/>
    <s v="P1002"/>
    <s v="P1002"/>
    <n v="3"/>
    <n v="137.99"/>
    <n v="0.05"/>
    <x v="2"/>
    <s v="Card"/>
    <x v="0"/>
    <s v="Fairlands"/>
    <s v="Divya"/>
    <s v="Staples"/>
    <x v="26"/>
    <x v="3"/>
    <s v="Cavin's"/>
    <n v="107.73"/>
    <n v="138.91"/>
    <s v="Salem Wholesale Mart"/>
    <s v="Keerthi R"/>
    <s v="Female"/>
    <n v="19"/>
    <s v="Dharmapuri"/>
    <x v="1"/>
    <d v="2025-08-14T00:00:00"/>
    <n v="413.97"/>
    <x v="145"/>
    <n v="70.081500000000005"/>
  </r>
  <r>
    <x v="146"/>
    <x v="26"/>
    <s v="29-Aug-2026"/>
    <s v="C040"/>
    <s v="P1001"/>
    <s v="P1001"/>
    <n v="1"/>
    <n v="285.33999999999997"/>
    <n v="0"/>
    <x v="1"/>
    <s v="UPI"/>
    <x v="2"/>
    <s v="Suramangalam"/>
    <s v="Ezhil"/>
    <s v="Staples"/>
    <x v="5"/>
    <x v="3"/>
    <s v="Nestle"/>
    <n v="275.05"/>
    <n v="309.64"/>
    <s v="Kongu Distributors"/>
    <s v="Divya Devi"/>
    <s v="Female"/>
    <n v="60"/>
    <s v="Karur"/>
    <x v="1"/>
    <d v="2025-10-01T00:00:00"/>
    <n v="285.33999999999997"/>
    <x v="146"/>
    <n v="10.289999999999964"/>
  </r>
  <r>
    <x v="147"/>
    <x v="20"/>
    <s v="03-Sep-2026"/>
    <s v="Guest"/>
    <s v="P1004"/>
    <s v="P1004"/>
    <n v="3"/>
    <n v="131.80000000000001"/>
    <n v="0"/>
    <x v="1"/>
    <s v="UPI"/>
    <x v="0"/>
    <s v="Fairlands"/>
    <s v="Divya"/>
    <s v="Staples"/>
    <x v="23"/>
    <x v="3"/>
    <s v="Cavin's"/>
    <n v="111.53"/>
    <n v="140.36000000000001"/>
    <s v="Kongu Distributors"/>
    <s v="Guest"/>
    <s v="Guest"/>
    <s v="Guest"/>
    <s v="Guest"/>
    <x v="3"/>
    <s v="Guest"/>
    <n v="395.40000000000003"/>
    <x v="147"/>
    <n v="60.81"/>
  </r>
  <r>
    <x v="148"/>
    <x v="15"/>
    <s v="30-Aug-2026"/>
    <s v="C005"/>
    <s v="P1004"/>
    <s v="P1004"/>
    <n v="4"/>
    <n v="135.83000000000001"/>
    <n v="0"/>
    <x v="2"/>
    <s v="Card"/>
    <x v="0"/>
    <s v="Fairlands"/>
    <s v="Ezhil"/>
    <s v="Staples"/>
    <x v="23"/>
    <x v="3"/>
    <s v="Cavin's"/>
    <n v="111.53"/>
    <n v="140.36000000000001"/>
    <s v="Kongu Distributors"/>
    <s v="Anitha M"/>
    <s v="Male"/>
    <n v="33"/>
    <s v="Dharmapuri"/>
    <x v="2"/>
    <d v="2025-03-29T00:00:00"/>
    <n v="543.32000000000005"/>
    <x v="148"/>
    <n v="97.200000000000045"/>
  </r>
  <r>
    <x v="149"/>
    <x v="17"/>
    <s v="16-Aug-2026"/>
    <s v="C046"/>
    <s v="P1005"/>
    <s v="P1005"/>
    <n v="3"/>
    <n v="373.98"/>
    <n v="0.1"/>
    <x v="0"/>
    <s v="Cash"/>
    <x v="0"/>
    <s v="Fairlands"/>
    <s v="Ezhil"/>
    <s v="Staples"/>
    <x v="9"/>
    <x v="3"/>
    <s v="ITC"/>
    <n v="305.83999999999997"/>
    <n v="391.87"/>
    <s v="Kongu Distributors"/>
    <s v="Harish Selvam"/>
    <s v="Male"/>
    <n v="42"/>
    <s v="Dharmapuri"/>
    <x v="0"/>
    <d v="2025-02-15T00:00:00"/>
    <n v="1121.94"/>
    <x v="149"/>
    <n v="92.226000000000113"/>
  </r>
  <r>
    <x v="150"/>
    <x v="3"/>
    <s v="27-Aug-2026"/>
    <s v="C012"/>
    <s v="P1022"/>
    <s v="P1022"/>
    <n v="6"/>
    <n v="118.43"/>
    <n v="0"/>
    <x v="1"/>
    <s v="UPI"/>
    <x v="2"/>
    <s v="Suramangalam"/>
    <s v="Ezhil"/>
    <s v="Personal Care"/>
    <x v="20"/>
    <x v="5"/>
    <s v="LocalFresh"/>
    <n v="103.48"/>
    <n v="127.78"/>
    <s v="Kongu Distributors"/>
    <s v="Vignesh Shree"/>
    <s v="Female"/>
    <n v="33"/>
    <s v="Coimbatore"/>
    <x v="1"/>
    <d v="2025-07-14T00:00:00"/>
    <n v="710.58"/>
    <x v="150"/>
    <n v="89.700000000000045"/>
  </r>
  <r>
    <x v="151"/>
    <x v="14"/>
    <s v="02-Sep-2026"/>
    <s v="C051"/>
    <s v="P1017"/>
    <s v="P1017"/>
    <n v="5"/>
    <n v="280.87"/>
    <n v="0.05"/>
    <x v="1"/>
    <s v="UPI"/>
    <x v="2"/>
    <s v="Suramangalam"/>
    <s v="Divya"/>
    <s v="Beverages"/>
    <x v="19"/>
    <x v="4"/>
    <s v="Tata"/>
    <n v="262.87"/>
    <n v="304.76"/>
    <s v="Kongu Distributors"/>
    <s v="Anitha M"/>
    <s v="Female"/>
    <n v="68"/>
    <s v="Dharmapuri"/>
    <x v="1"/>
    <d v="2025-11-26T00:00:00"/>
    <n v="1404.35"/>
    <x v="151"/>
    <n v="19.782500000000027"/>
  </r>
  <r>
    <x v="152"/>
    <x v="11"/>
    <s v="24-Aug-2026"/>
    <s v="C017"/>
    <s v="P1024"/>
    <s v="P1024"/>
    <n v="1"/>
    <n v="147.1"/>
    <n v="0"/>
    <x v="0"/>
    <s v="Cash"/>
    <x v="0"/>
    <s v="Fairlands"/>
    <s v="Asha"/>
    <s v="Personal Care"/>
    <x v="25"/>
    <x v="5"/>
    <s v="Surf"/>
    <n v="123.62"/>
    <n v="155.08000000000001"/>
    <s v="FreshLine Traders"/>
    <s v="Priya Kumar"/>
    <s v="Male"/>
    <n v="23"/>
    <s v="Erode"/>
    <x v="0"/>
    <d v="2026-05-13T00:00:00"/>
    <n v="147.1"/>
    <x v="152"/>
    <n v="23.47999999999999"/>
  </r>
  <r>
    <x v="153"/>
    <x v="1"/>
    <s v="22-Aug-2026"/>
    <s v="C009"/>
    <s v="P1002"/>
    <s v="P1002"/>
    <n v="3"/>
    <n v="133.86000000000001"/>
    <n v="0.15"/>
    <x v="2"/>
    <s v="Card"/>
    <x v="2"/>
    <s v="Suramangalam"/>
    <s v="Divya"/>
    <s v="Staples"/>
    <x v="26"/>
    <x v="3"/>
    <s v="Cavin's"/>
    <n v="107.73"/>
    <n v="138.91"/>
    <s v="Salem Wholesale Mart"/>
    <s v="Keerthi R"/>
    <s v="Female"/>
    <n v="19"/>
    <s v="Dharmapuri"/>
    <x v="1"/>
    <d v="2025-08-14T00:00:00"/>
    <n v="401.58000000000004"/>
    <x v="153"/>
    <n v="18.15300000000002"/>
  </r>
  <r>
    <x v="154"/>
    <x v="23"/>
    <s v="31-Aug-2026"/>
    <s v="C041"/>
    <s v="P1006"/>
    <s v="P1006"/>
    <n v="2"/>
    <n v="217.5"/>
    <n v="0.05"/>
    <x v="1"/>
    <s v="UPI"/>
    <x v="1"/>
    <s v="Hasthampatti"/>
    <s v="Bala"/>
    <s v="Staples"/>
    <x v="28"/>
    <x v="3"/>
    <s v="Aachi"/>
    <n v="198.58"/>
    <n v="235.12"/>
    <s v="Kongu Distributors"/>
    <s v="Divya R"/>
    <s v="Female"/>
    <n v="20"/>
    <s v="Coimbatore"/>
    <x v="0"/>
    <d v="2026-04-17T00:00:00"/>
    <n v="435"/>
    <x v="154"/>
    <n v="16.089999999999975"/>
  </r>
  <r>
    <x v="155"/>
    <x v="33"/>
    <s v="03-Aug-2026"/>
    <s v="C051"/>
    <s v="P1007"/>
    <s v="P1007"/>
    <n v="1"/>
    <n v="338.27"/>
    <n v="0"/>
    <x v="2"/>
    <s v="Card"/>
    <x v="1"/>
    <s v="Hasthampatti"/>
    <s v="Ezhil"/>
    <s v="Dairy"/>
    <x v="29"/>
    <x v="0"/>
    <s v="Britannia"/>
    <n v="298.64999999999998"/>
    <n v="357.86"/>
    <s v="Kongu Distributors"/>
    <s v="Anitha M"/>
    <s v="Female"/>
    <n v="68"/>
    <s v="Dharmapuri"/>
    <x v="1"/>
    <d v="2025-11-26T00:00:00"/>
    <n v="338.27"/>
    <x v="155"/>
    <n v="39.620000000000005"/>
  </r>
  <r>
    <x v="156"/>
    <x v="23"/>
    <s v="31-Aug-2026"/>
    <s v="C017"/>
    <s v="P1002"/>
    <s v="P1002"/>
    <n v="6"/>
    <n v="129.91999999999999"/>
    <n v="0"/>
    <x v="1"/>
    <s v="UPI"/>
    <x v="2"/>
    <s v="Suramangalam"/>
    <s v="Charan"/>
    <s v="Staples"/>
    <x v="26"/>
    <x v="3"/>
    <s v="Cavin's"/>
    <n v="107.73"/>
    <n v="138.91"/>
    <s v="Salem Wholesale Mart"/>
    <s v="Priya Kumar"/>
    <s v="Male"/>
    <n v="23"/>
    <s v="Erode"/>
    <x v="0"/>
    <d v="2026-05-13T00:00:00"/>
    <n v="779.52"/>
    <x v="156"/>
    <n v="133.13999999999999"/>
  </r>
  <r>
    <x v="157"/>
    <x v="31"/>
    <s v="18-Aug-2026"/>
    <s v="C008"/>
    <s v="P1026"/>
    <s v="P1026"/>
    <n v="3"/>
    <n v="267.36"/>
    <n v="0.05"/>
    <x v="2"/>
    <s v="Card"/>
    <x v="1"/>
    <s v="Hasthampatti"/>
    <s v="Divya"/>
    <s v="Household"/>
    <x v="16"/>
    <x v="1"/>
    <s v="Aavin"/>
    <n v="216.39"/>
    <n v="279.97000000000003"/>
    <s v="Kongu Distributors"/>
    <s v="Anitha Selvam"/>
    <s v="Female"/>
    <n v="46"/>
    <s v="Dharmapuri"/>
    <x v="0"/>
    <d v="2025-09-11T00:00:00"/>
    <n v="802.08"/>
    <x v="157"/>
    <n v="112.80600000000004"/>
  </r>
  <r>
    <x v="158"/>
    <x v="1"/>
    <s v="22-Aug-2026"/>
    <s v="C012"/>
    <s v="P1016"/>
    <s v="P1016"/>
    <n v="6"/>
    <n v="187.04"/>
    <n v="0.1"/>
    <x v="0"/>
    <s v="Cash"/>
    <x v="0"/>
    <s v="Fairlands"/>
    <s v="Divya"/>
    <s v="Snacks"/>
    <x v="13"/>
    <x v="2"/>
    <s v="Nestle"/>
    <n v="166.81"/>
    <n v="194.87"/>
    <s v="Salem Wholesale Mart"/>
    <s v="Vignesh Shree"/>
    <s v="Female"/>
    <n v="33"/>
    <s v="Coimbatore"/>
    <x v="1"/>
    <d v="2025-07-14T00:00:00"/>
    <n v="1122.24"/>
    <x v="158"/>
    <n v="9.1560000000000628"/>
  </r>
  <r>
    <x v="159"/>
    <x v="30"/>
    <s v="06-Aug-2026"/>
    <s v="C028"/>
    <s v="P1020"/>
    <s v="P1020"/>
    <n v="2"/>
    <n v="438.14"/>
    <n v="0"/>
    <x v="1"/>
    <s v="UPI"/>
    <x v="0"/>
    <s v="Fairlands"/>
    <s v="Charan"/>
    <s v="Beverages"/>
    <x v="10"/>
    <x v="4"/>
    <s v="ITC"/>
    <n v="348.36"/>
    <n v="454.67"/>
    <s v="Metro Supply Co"/>
    <s v="Meena Priyan"/>
    <s v="Male"/>
    <n v="50"/>
    <s v="Namakkal"/>
    <x v="0"/>
    <d v="2025-12-24T00:00:00"/>
    <n v="876.28"/>
    <x v="159"/>
    <n v="179.55999999999995"/>
  </r>
  <r>
    <x v="160"/>
    <x v="32"/>
    <s v="19-Aug-2026"/>
    <s v="C020"/>
    <s v="P1015"/>
    <s v="P1015"/>
    <n v="5"/>
    <n v="160.58000000000001"/>
    <n v="0"/>
    <x v="2"/>
    <s v="Card"/>
    <x v="1"/>
    <s v="Hasthampatti"/>
    <s v="Charan"/>
    <s v="Snacks"/>
    <x v="4"/>
    <x v="2"/>
    <s v="HUL"/>
    <n v="129.75"/>
    <n v="164.29"/>
    <s v="Kongu Distributors"/>
    <s v="Nithya S"/>
    <s v="Male"/>
    <n v="36"/>
    <s v="Erode"/>
    <x v="2"/>
    <d v="2026-08-17T00:00:00"/>
    <n v="802.90000000000009"/>
    <x v="160"/>
    <n v="154.15000000000009"/>
  </r>
  <r>
    <x v="161"/>
    <x v="26"/>
    <s v="29/08/2026"/>
    <s v="C003"/>
    <s v="P1024"/>
    <s v="P1024"/>
    <n v="3"/>
    <n v="150.30000000000001"/>
    <n v="0.05"/>
    <x v="0"/>
    <s v="Cash"/>
    <x v="2"/>
    <s v="Suramangalam"/>
    <s v="Asha"/>
    <s v="Personal Care"/>
    <x v="25"/>
    <x v="5"/>
    <s v="Surf"/>
    <n v="123.62"/>
    <n v="155.08000000000001"/>
    <s v="FreshLine Traders"/>
    <s v="Janani M"/>
    <s v="Male"/>
    <n v="41"/>
    <s v="Erode"/>
    <x v="0"/>
    <d v="2026-06-28T00:00:00"/>
    <n v="450.90000000000003"/>
    <x v="161"/>
    <n v="57.495000000000005"/>
  </r>
  <r>
    <x v="162"/>
    <x v="9"/>
    <s v="05-Aug-2026"/>
    <s v="C043"/>
    <s v="P1021"/>
    <s v="P1021"/>
    <n v="4"/>
    <n v="56.31"/>
    <n v="0.15"/>
    <x v="2"/>
    <s v="Card"/>
    <x v="0"/>
    <s v="Fairlands"/>
    <s v="Asha"/>
    <s v="Beverages"/>
    <x v="8"/>
    <x v="4"/>
    <s v="Surf"/>
    <n v="44.61"/>
    <n v="59.33"/>
    <s v="Metro Supply Co"/>
    <s v="Harish Raj"/>
    <s v="Male"/>
    <n v="67"/>
    <s v="Namakkal"/>
    <x v="0"/>
    <d v="2026-06-06T00:00:00"/>
    <n v="225.24"/>
    <x v="162"/>
    <n v="13.01400000000001"/>
  </r>
  <r>
    <x v="163"/>
    <x v="10"/>
    <s v="10-Aug-2026"/>
    <s v="C055"/>
    <s v="P1020"/>
    <s v="P1020"/>
    <n v="6"/>
    <n v="446.72"/>
    <n v="0"/>
    <x v="1"/>
    <s v="UPI"/>
    <x v="0"/>
    <s v="Fairlands"/>
    <s v="Bala"/>
    <s v="Beverages"/>
    <x v="10"/>
    <x v="4"/>
    <s v="ITC"/>
    <n v="348.36"/>
    <n v="454.67"/>
    <s v="Metro Supply Co"/>
    <s v="Karthik Selvam"/>
    <s v="Male"/>
    <n v="63"/>
    <s v="Karur"/>
    <x v="0"/>
    <d v="2026-02-14T00:00:00"/>
    <n v="2680.32"/>
    <x v="163"/>
    <n v="590.16000000000031"/>
  </r>
  <r>
    <x v="164"/>
    <x v="11"/>
    <s v="24-Aug-2026"/>
    <s v="C024"/>
    <s v="P1013"/>
    <s v="P1013"/>
    <n v="5"/>
    <n v="99.88"/>
    <n v="0"/>
    <x v="2"/>
    <s v="Card"/>
    <x v="1"/>
    <s v="Hasthampatti"/>
    <s v="Charan"/>
    <s v="Snacks"/>
    <x v="24"/>
    <x v="2"/>
    <s v="Tata"/>
    <n v="95.3"/>
    <n v="108.26"/>
    <s v="Metro Supply Co"/>
    <s v="Keerthi Shree"/>
    <s v="Male"/>
    <n v="57"/>
    <s v="Salem"/>
    <x v="0"/>
    <d v="2026-08-21T00:00:00"/>
    <n v="499.4"/>
    <x v="164"/>
    <n v="22.899999999999977"/>
  </r>
  <r>
    <x v="165"/>
    <x v="11"/>
    <s v="24-Aug-2026"/>
    <s v="C029"/>
    <s v="P1025"/>
    <s v="P1025"/>
    <n v="1"/>
    <n v="213.13"/>
    <n v="0.1"/>
    <x v="0"/>
    <s v="Cash"/>
    <x v="1"/>
    <s v="Hasthampatti"/>
    <s v="Charan"/>
    <s v="Personal Care"/>
    <x v="21"/>
    <x v="5"/>
    <s v="Britannia"/>
    <n v="163.52000000000001"/>
    <n v="220.65"/>
    <s v="Sri Ganesh Agencies"/>
    <s v="Meena M"/>
    <s v="Female"/>
    <n v="36"/>
    <s v="Erode"/>
    <x v="0"/>
    <d v="2026-07-11T00:00:00"/>
    <n v="213.13"/>
    <x v="165"/>
    <n v="28.296999999999997"/>
  </r>
  <r>
    <x v="166"/>
    <x v="31"/>
    <s v="18-Aug-2026"/>
    <s v="C016"/>
    <s v="P1004"/>
    <s v="P1004"/>
    <n v="1"/>
    <n v="137.38999999999999"/>
    <n v="0.1"/>
    <x v="2"/>
    <s v="Card"/>
    <x v="1"/>
    <s v="Hasthampatti"/>
    <s v="Ezhil"/>
    <s v="Staples"/>
    <x v="23"/>
    <x v="3"/>
    <s v="Cavin's"/>
    <n v="111.53"/>
    <n v="140.36000000000001"/>
    <s v="Kongu Distributors"/>
    <s v="Sanjay Babu"/>
    <s v="Male"/>
    <n v="22"/>
    <s v="Coimbatore"/>
    <x v="1"/>
    <d v="2026-07-18T00:00:00"/>
    <n v="137.38999999999999"/>
    <x v="166"/>
    <n v="12.120999999999995"/>
  </r>
  <r>
    <x v="167"/>
    <x v="13"/>
    <s v="08-Aug-2026"/>
    <s v="C017"/>
    <s v="P1025"/>
    <s v="P1025"/>
    <n v="3"/>
    <n v="215.43"/>
    <n v="0"/>
    <x v="2"/>
    <s v="Card"/>
    <x v="1"/>
    <s v="Hasthampatti"/>
    <s v="Divya"/>
    <s v="Personal Care"/>
    <x v="21"/>
    <x v="5"/>
    <s v="Britannia"/>
    <n v="163.52000000000001"/>
    <n v="220.65"/>
    <s v="Sri Ganesh Agencies"/>
    <s v="Priya Kumar"/>
    <s v="Male"/>
    <n v="23"/>
    <s v="Erode"/>
    <x v="0"/>
    <d v="2026-05-13T00:00:00"/>
    <n v="646.29"/>
    <x v="167"/>
    <n v="155.7299999999999"/>
  </r>
  <r>
    <x v="168"/>
    <x v="19"/>
    <s v="13-Aug-2026"/>
    <s v="C008"/>
    <s v="P1005"/>
    <s v="P1005"/>
    <n v="1"/>
    <n v="374.69"/>
    <n v="0.15"/>
    <x v="0"/>
    <s v="Cash"/>
    <x v="0"/>
    <s v="Fairlands"/>
    <s v="Charan"/>
    <s v="Staples"/>
    <x v="9"/>
    <x v="3"/>
    <s v="ITC"/>
    <n v="305.83999999999997"/>
    <n v="391.87"/>
    <s v="Kongu Distributors"/>
    <s v="Anitha Selvam"/>
    <s v="Female"/>
    <n v="46"/>
    <s v="Dharmapuri"/>
    <x v="0"/>
    <d v="2025-09-11T00:00:00"/>
    <n v="374.69"/>
    <x v="168"/>
    <n v="12.646500000000003"/>
  </r>
  <r>
    <x v="169"/>
    <x v="34"/>
    <s v="23-Aug-2026"/>
    <s v="C046"/>
    <s v="P1003"/>
    <s v="P1003"/>
    <n v="5"/>
    <n v="277.35000000000002"/>
    <n v="0"/>
    <x v="1"/>
    <s v="UPI"/>
    <x v="2"/>
    <s v="Suramangalam"/>
    <s v="Bala"/>
    <s v="Staples"/>
    <x v="7"/>
    <x v="3"/>
    <s v="Aavin"/>
    <n v="255.38"/>
    <n v="287.89"/>
    <s v="Kongu Distributors"/>
    <s v="Harish Selvam"/>
    <s v="Male"/>
    <n v="42"/>
    <s v="Dharmapuri"/>
    <x v="0"/>
    <d v="2025-02-15T00:00:00"/>
    <n v="1386.75"/>
    <x v="169"/>
    <n v="109.84999999999991"/>
  </r>
  <r>
    <x v="170"/>
    <x v="11"/>
    <s v="24-Aug-2026"/>
    <s v="C033"/>
    <s v="P1008"/>
    <s v="P1008"/>
    <n v="1"/>
    <n v="481.75"/>
    <n v="0"/>
    <x v="1"/>
    <s v="UPI"/>
    <x v="1"/>
    <s v="Hasthampatti"/>
    <s v="Asha"/>
    <s v="Dairy"/>
    <x v="0"/>
    <x v="0"/>
    <s v="Aavin"/>
    <n v="402.8"/>
    <n v="482.32"/>
    <s v="FreshLine Traders"/>
    <s v="Praveen Babu"/>
    <s v="Female"/>
    <n v="21"/>
    <s v="Salem"/>
    <x v="1"/>
    <d v="2025-10-11T00:00:00"/>
    <n v="481.75"/>
    <x v="170"/>
    <n v="78.949999999999989"/>
  </r>
  <r>
    <x v="171"/>
    <x v="11"/>
    <s v="24-Aug-2026"/>
    <s v="C036"/>
    <s v="P1019"/>
    <s v="P1019"/>
    <n v="3"/>
    <n v="368.83"/>
    <n v="0.1"/>
    <x v="1"/>
    <s v="UPI"/>
    <x v="2"/>
    <s v="Suramangalam"/>
    <s v="Asha"/>
    <s v="Beverages"/>
    <x v="12"/>
    <x v="4"/>
    <s v="Aachi"/>
    <n v="293.20999999999998"/>
    <n v="385.24"/>
    <s v="Kongu Distributors"/>
    <s v="Gayathri Kumar"/>
    <s v="Female"/>
    <n v="55"/>
    <s v="Dharmapuri"/>
    <x v="0"/>
    <d v="2025-05-11T00:00:00"/>
    <n v="1106.49"/>
    <x v="171"/>
    <n v="116.21100000000013"/>
  </r>
  <r>
    <x v="172"/>
    <x v="9"/>
    <s v="05-Aug-2026"/>
    <s v="C020"/>
    <s v="P1013"/>
    <s v="P1013"/>
    <n v="6"/>
    <n v="105.83"/>
    <n v="0.1"/>
    <x v="0"/>
    <s v="Cash"/>
    <x v="1"/>
    <s v="Hasthampatti"/>
    <s v="Ezhil"/>
    <s v="Snacks"/>
    <x v="24"/>
    <x v="2"/>
    <s v="Tata"/>
    <n v="95.3"/>
    <n v="108.26"/>
    <s v="Metro Supply Co"/>
    <s v="Nithya S"/>
    <s v="Male"/>
    <n v="36"/>
    <s v="Erode"/>
    <x v="2"/>
    <d v="2026-08-17T00:00:00"/>
    <n v="634.98"/>
    <x v="172"/>
    <n v="-0.31799999999986994"/>
  </r>
  <r>
    <x v="173"/>
    <x v="9"/>
    <s v="05-Aug-2026"/>
    <s v="C009"/>
    <s v="P1011"/>
    <s v="P1011"/>
    <n v="6"/>
    <n v="457.34"/>
    <n v="0.05"/>
    <x v="2"/>
    <s v="Card"/>
    <x v="2"/>
    <s v="Suramangalam"/>
    <s v="Charan"/>
    <s v="Dairy"/>
    <x v="6"/>
    <x v="0"/>
    <s v="Cavin's"/>
    <n v="409.19"/>
    <n v="493.92"/>
    <s v="Metro Supply Co"/>
    <s v="Keerthi R"/>
    <s v="Female"/>
    <n v="19"/>
    <s v="Dharmapuri"/>
    <x v="1"/>
    <d v="2025-08-14T00:00:00"/>
    <n v="2744.04"/>
    <x v="173"/>
    <n v="151.69799999999987"/>
  </r>
  <r>
    <x v="174"/>
    <x v="22"/>
    <s v="09-Aug-2026"/>
    <s v="C057"/>
    <s v="P1027"/>
    <s v="P1027"/>
    <n v="5"/>
    <n v="341.75"/>
    <n v="0"/>
    <x v="1"/>
    <s v="UPI"/>
    <x v="1"/>
    <s v="Hasthampatti"/>
    <s v="Ezhil"/>
    <s v="Household"/>
    <x v="22"/>
    <x v="1"/>
    <s v="ITC"/>
    <n v="270.23"/>
    <n v="351.89"/>
    <s v="Sri Ganesh Agencies"/>
    <s v="Divya Priyan"/>
    <s v="Female"/>
    <n v="21"/>
    <s v="Dharmapuri"/>
    <x v="0"/>
    <d v="2025-05-05T00:00:00"/>
    <n v="1708.75"/>
    <x v="174"/>
    <n v="357.59999999999991"/>
  </r>
  <r>
    <x v="175"/>
    <x v="36"/>
    <s v="04-Aug-2026"/>
    <s v="C054"/>
    <s v="P1004"/>
    <s v="P1004"/>
    <n v="5"/>
    <n v="130.85"/>
    <n v="0"/>
    <x v="1"/>
    <s v="UPI"/>
    <x v="1"/>
    <s v="Hasthampatti"/>
    <s v="Bala"/>
    <s v="Staples"/>
    <x v="23"/>
    <x v="3"/>
    <s v="Cavin's"/>
    <n v="111.53"/>
    <n v="140.36000000000001"/>
    <s v="Kongu Distributors"/>
    <s v="Naveen S"/>
    <s v="Male"/>
    <n v="20"/>
    <s v="Erode"/>
    <x v="2"/>
    <d v="2025-03-16T00:00:00"/>
    <n v="654.25"/>
    <x v="175"/>
    <n v="96.600000000000023"/>
  </r>
  <r>
    <x v="176"/>
    <x v="34"/>
    <s v="23-Aug-2026"/>
    <s v="C034"/>
    <s v="P1029"/>
    <s v="P1029"/>
    <n v="3"/>
    <n v="146.68"/>
    <n v="0"/>
    <x v="1"/>
    <s v="UPI"/>
    <x v="2"/>
    <s v="Suramangalam"/>
    <s v="Ezhil"/>
    <s v="Household"/>
    <x v="1"/>
    <x v="1"/>
    <s v="Aachi"/>
    <n v="119.07"/>
    <n v="148.51"/>
    <s v="Salem Wholesale Mart"/>
    <s v="Kavin Kumar"/>
    <s v="Female"/>
    <n v="67"/>
    <s v="Erode"/>
    <x v="1"/>
    <d v="2025-09-26T00:00:00"/>
    <n v="440.04"/>
    <x v="176"/>
    <n v="82.830000000000041"/>
  </r>
  <r>
    <x v="177"/>
    <x v="31"/>
    <s v="18-Aug-2026"/>
    <s v="C009"/>
    <s v="P1021"/>
    <s v="P1021"/>
    <n v="3"/>
    <n v="57.5"/>
    <n v="0"/>
    <x v="2"/>
    <s v="Card"/>
    <x v="2"/>
    <s v="Suramangalam"/>
    <s v="Bala"/>
    <s v="Beverages"/>
    <x v="8"/>
    <x v="4"/>
    <s v="Surf"/>
    <n v="44.61"/>
    <n v="59.33"/>
    <s v="Metro Supply Co"/>
    <s v="Keerthi R"/>
    <s v="Female"/>
    <n v="19"/>
    <s v="Dharmapuri"/>
    <x v="1"/>
    <d v="2025-08-14T00:00:00"/>
    <n v="172.5"/>
    <x v="177"/>
    <n v="38.670000000000016"/>
  </r>
  <r>
    <x v="178"/>
    <x v="10"/>
    <s v="10-Aug-2026"/>
    <s v="C011"/>
    <s v="P1022"/>
    <s v="P1022"/>
    <n v="5"/>
    <n v="124.92"/>
    <n v="0.1"/>
    <x v="0"/>
    <s v="Cash"/>
    <x v="2"/>
    <s v="Suramangalam"/>
    <s v="Asha"/>
    <s v="Personal Care"/>
    <x v="20"/>
    <x v="5"/>
    <s v="LocalFresh"/>
    <n v="103.48"/>
    <n v="127.78"/>
    <s v="Kongu Distributors"/>
    <s v="Meena Priyan"/>
    <s v="Male"/>
    <n v="35"/>
    <s v="Karur"/>
    <x v="0"/>
    <d v="2026-07-07T00:00:00"/>
    <n v="624.6"/>
    <x v="178"/>
    <n v="44.740000000000009"/>
  </r>
  <r>
    <x v="179"/>
    <x v="27"/>
    <s v="02-Aug-2026"/>
    <s v="C006"/>
    <s v="P1002"/>
    <s v="P1002"/>
    <n v="6"/>
    <n v="136.37"/>
    <n v="0"/>
    <x v="2"/>
    <s v="Card"/>
    <x v="0"/>
    <s v="Fairlands"/>
    <s v="Ezhil"/>
    <s v="Staples"/>
    <x v="26"/>
    <x v="3"/>
    <s v="Cavin's"/>
    <n v="107.73"/>
    <n v="138.91"/>
    <s v="Salem Wholesale Mart"/>
    <s v="Nithya R"/>
    <s v="Male"/>
    <n v="26"/>
    <s v="Karur"/>
    <x v="0"/>
    <d v="2026-07-17T00:00:00"/>
    <n v="818.22"/>
    <x v="179"/>
    <n v="171.84000000000003"/>
  </r>
  <r>
    <x v="180"/>
    <x v="3"/>
    <s v="27-Aug-2026"/>
    <s v="C040"/>
    <s v="P1021"/>
    <s v="P1021"/>
    <n v="1"/>
    <n v="56.95"/>
    <n v="0.15"/>
    <x v="2"/>
    <s v="Card"/>
    <x v="1"/>
    <s v="Hasthampatti"/>
    <s v="Charan"/>
    <s v="Beverages"/>
    <x v="8"/>
    <x v="4"/>
    <s v="Surf"/>
    <n v="44.61"/>
    <n v="59.33"/>
    <s v="Metro Supply Co"/>
    <s v="Divya Devi"/>
    <s v="Female"/>
    <n v="60"/>
    <s v="Karur"/>
    <x v="1"/>
    <d v="2025-10-01T00:00:00"/>
    <n v="56.95"/>
    <x v="180"/>
    <n v="3.7974999999999994"/>
  </r>
  <r>
    <x v="181"/>
    <x v="23"/>
    <s v="31-Aug-2026"/>
    <s v="C016"/>
    <s v="P1026"/>
    <s v="P1026"/>
    <n v="6"/>
    <n v="266.67"/>
    <n v="0.05"/>
    <x v="1"/>
    <s v="UPI"/>
    <x v="2"/>
    <s v="Suramangalam"/>
    <s v="Asha"/>
    <s v="Household"/>
    <x v="16"/>
    <x v="1"/>
    <s v="Aavin"/>
    <n v="216.39"/>
    <n v="279.97000000000003"/>
    <s v="Kongu Distributors"/>
    <s v="Sanjay Babu"/>
    <s v="Male"/>
    <n v="22"/>
    <s v="Coimbatore"/>
    <x v="1"/>
    <d v="2026-07-18T00:00:00"/>
    <n v="1600.02"/>
    <x v="181"/>
    <n v="221.67900000000009"/>
  </r>
  <r>
    <x v="182"/>
    <x v="6"/>
    <s v="11-Aug-2026"/>
    <s v="C029"/>
    <s v="P1014"/>
    <s v="P1014"/>
    <n v="4"/>
    <n v="521.84"/>
    <n v="0"/>
    <x v="2"/>
    <s v="Card"/>
    <x v="0"/>
    <s v="Fairlands"/>
    <s v="Charan"/>
    <s v="Snacks"/>
    <x v="2"/>
    <x v="2"/>
    <s v="Aavin"/>
    <n v="414.06"/>
    <n v="545.20000000000005"/>
    <s v="FreshLine Traders"/>
    <s v="Meena M"/>
    <s v="Female"/>
    <n v="36"/>
    <s v="Erode"/>
    <x v="0"/>
    <d v="2026-07-11T00:00:00"/>
    <n v="2087.36"/>
    <x v="182"/>
    <n v="431.12000000000012"/>
  </r>
  <r>
    <x v="183"/>
    <x v="28"/>
    <s v="21-Aug-2026"/>
    <s v="C047"/>
    <s v="P1028"/>
    <s v="P1028"/>
    <n v="3"/>
    <n v="52.49"/>
    <n v="0"/>
    <x v="0"/>
    <s v="Cash"/>
    <x v="2"/>
    <s v="Suramangalam"/>
    <s v="Ezhil"/>
    <s v="Staples"/>
    <x v="18"/>
    <x v="1"/>
    <s v="LocalFresh"/>
    <n v="43.54"/>
    <n v="52.59"/>
    <s v="Sri Ganesh Agencies"/>
    <s v="Swetha Kumar"/>
    <s v="Male"/>
    <n v="41"/>
    <s v="Coimbatore"/>
    <x v="0"/>
    <d v="2025-12-05T00:00:00"/>
    <n v="157.47"/>
    <x v="183"/>
    <n v="26.849999999999994"/>
  </r>
  <r>
    <x v="184"/>
    <x v="28"/>
    <s v="21-Aug-2026"/>
    <s v="C016"/>
    <s v="P1015"/>
    <s v="P1015"/>
    <n v="1"/>
    <n v="154.66"/>
    <n v="0"/>
    <x v="1"/>
    <s v="UPI"/>
    <x v="0"/>
    <s v="Fairlands"/>
    <s v="Asha"/>
    <s v="Snacks"/>
    <x v="4"/>
    <x v="2"/>
    <s v="HUL"/>
    <n v="129.75"/>
    <n v="164.29"/>
    <s v="Kongu Distributors"/>
    <s v="Sanjay Babu"/>
    <s v="Male"/>
    <n v="22"/>
    <s v="Coimbatore"/>
    <x v="1"/>
    <d v="2026-07-18T00:00:00"/>
    <n v="154.66"/>
    <x v="184"/>
    <n v="24.909999999999997"/>
  </r>
  <r>
    <x v="185"/>
    <x v="32"/>
    <s v="19-Aug-2026"/>
    <s v="C025"/>
    <s v="P1028"/>
    <s v="P1028"/>
    <n v="5"/>
    <n v="50.14"/>
    <n v="0"/>
    <x v="0"/>
    <s v="Cash"/>
    <x v="2"/>
    <s v="Suramangalam"/>
    <s v="Charan"/>
    <s v="Household"/>
    <x v="18"/>
    <x v="1"/>
    <s v="LocalFresh"/>
    <n v="43.54"/>
    <n v="52.59"/>
    <s v="Sri Ganesh Agencies"/>
    <s v="Surya Priyan"/>
    <s v="Female"/>
    <n v="34"/>
    <s v="Erode"/>
    <x v="1"/>
    <d v="2025-11-18T00:00:00"/>
    <n v="250.7"/>
    <x v="185"/>
    <n v="33"/>
  </r>
  <r>
    <x v="186"/>
    <x v="19"/>
    <s v="13-Aug-2026"/>
    <s v="C049"/>
    <s v="P1006"/>
    <s v="P1006"/>
    <n v="4"/>
    <n v="235.04"/>
    <n v="0.05"/>
    <x v="0"/>
    <s v="Cash"/>
    <x v="1"/>
    <s v="Hasthampatti"/>
    <s v="Divya"/>
    <s v="Staples"/>
    <x v="28"/>
    <x v="3"/>
    <s v="Aachi"/>
    <n v="198.58"/>
    <n v="235.12"/>
    <s v="Kongu Distributors"/>
    <s v="Harish Selvam"/>
    <s v="Female"/>
    <n v="53"/>
    <s v="Erode"/>
    <x v="0"/>
    <d v="2026-01-24T00:00:00"/>
    <n v="940.16"/>
    <x v="186"/>
    <n v="98.83199999999988"/>
  </r>
  <r>
    <x v="187"/>
    <x v="27"/>
    <s v="2026-08-02"/>
    <s v="C006"/>
    <s v="P1013"/>
    <s v="P1013"/>
    <n v="5"/>
    <n v="103.56"/>
    <n v="0"/>
    <x v="1"/>
    <s v="UPI"/>
    <x v="2"/>
    <s v="Suramangalam"/>
    <s v="Charan"/>
    <s v="Snacks"/>
    <x v="24"/>
    <x v="2"/>
    <s v="Tata"/>
    <n v="95.3"/>
    <n v="108.26"/>
    <s v="Metro Supply Co"/>
    <s v="Nithya R"/>
    <s v="Male"/>
    <n v="26"/>
    <s v="Karur"/>
    <x v="0"/>
    <d v="2026-07-17T00:00:00"/>
    <n v="517.79999999999995"/>
    <x v="187"/>
    <n v="41.299999999999955"/>
  </r>
  <r>
    <x v="188"/>
    <x v="36"/>
    <s v="04-Aug-2026"/>
    <s v="C004"/>
    <s v="P1010"/>
    <s v="P1010"/>
    <n v="4"/>
    <n v="426.85"/>
    <n v="0.15"/>
    <x v="2"/>
    <s v="Card"/>
    <x v="1"/>
    <s v="Hasthampatti"/>
    <s v="Charan"/>
    <s v="Dairy"/>
    <x v="3"/>
    <x v="0"/>
    <s v="Cavin's"/>
    <n v="342.47"/>
    <n v="441.05"/>
    <s v="Salem Wholesale Mart"/>
    <s v="Arun Shree"/>
    <s v="Female"/>
    <n v="49"/>
    <s v="Salem"/>
    <x v="0"/>
    <d v="2026-01-07T00:00:00"/>
    <n v="1707.4"/>
    <x v="188"/>
    <n v="81.409999999999854"/>
  </r>
  <r>
    <x v="189"/>
    <x v="16"/>
    <s v="04-Sep-2026"/>
    <s v="C001"/>
    <s v="P1028"/>
    <s v="P1028"/>
    <n v="1"/>
    <n v="50.2"/>
    <n v="0"/>
    <x v="2"/>
    <s v="Card"/>
    <x v="1"/>
    <s v="Hasthampatti"/>
    <s v="Divya"/>
    <s v="Household"/>
    <x v="18"/>
    <x v="1"/>
    <s v="LocalFresh"/>
    <n v="43.54"/>
    <n v="52.59"/>
    <s v="Sri Ganesh Agencies"/>
    <s v="Priya Raj"/>
    <s v="Female"/>
    <n v="28"/>
    <s v="Coimbatore"/>
    <x v="0"/>
    <d v="2025-09-27T00:00:00"/>
    <n v="50.2"/>
    <x v="189"/>
    <n v="6.6600000000000037"/>
  </r>
  <r>
    <x v="190"/>
    <x v="11"/>
    <s v="24-Aug-2026"/>
    <s v="C003"/>
    <s v="P1013"/>
    <s v="P1013"/>
    <n v="1"/>
    <n v="104.54"/>
    <n v="0"/>
    <x v="0"/>
    <s v="Cash"/>
    <x v="2"/>
    <s v="Suramangalam"/>
    <s v="Charan"/>
    <s v="Snacks"/>
    <x v="24"/>
    <x v="2"/>
    <s v="Tata"/>
    <n v="95.3"/>
    <n v="108.26"/>
    <s v="Metro Supply Co"/>
    <s v="Janani M"/>
    <s v="Male"/>
    <n v="41"/>
    <s v="Erode"/>
    <x v="0"/>
    <d v="2026-06-28T00:00:00"/>
    <n v="104.54"/>
    <x v="190"/>
    <n v="9.2400000000000091"/>
  </r>
  <r>
    <x v="191"/>
    <x v="9"/>
    <s v="05-Aug-2026"/>
    <s v="C025"/>
    <s v="P1017"/>
    <s v="P1017"/>
    <n v="4"/>
    <n v="299.02"/>
    <n v="0"/>
    <x v="2"/>
    <s v="Card"/>
    <x v="2"/>
    <s v="Suramangalam"/>
    <s v="Ezhil"/>
    <s v="Beverages"/>
    <x v="19"/>
    <x v="4"/>
    <s v="Tata"/>
    <n v="262.87"/>
    <n v="304.76"/>
    <s v="Kongu Distributors"/>
    <s v="Surya Priyan"/>
    <s v="Female"/>
    <n v="34"/>
    <s v="Erode"/>
    <x v="1"/>
    <d v="2025-11-18T00:00:00"/>
    <n v="1196.08"/>
    <x v="191"/>
    <n v="144.59999999999991"/>
  </r>
  <r>
    <x v="192"/>
    <x v="13"/>
    <s v="08-Aug-2026"/>
    <s v="C009"/>
    <s v="P1004"/>
    <s v="P1004"/>
    <n v="4"/>
    <n v="133.32"/>
    <n v="0"/>
    <x v="2"/>
    <s v="Card"/>
    <x v="1"/>
    <s v="Hasthampatti"/>
    <s v="Bala"/>
    <s v="Staples"/>
    <x v="23"/>
    <x v="3"/>
    <s v="Cavin's"/>
    <n v="111.53"/>
    <n v="140.36000000000001"/>
    <s v="Kongu Distributors"/>
    <s v="Keerthi R"/>
    <s v="Female"/>
    <n v="19"/>
    <s v="Dharmapuri"/>
    <x v="1"/>
    <d v="2025-08-14T00:00:00"/>
    <n v="533.28"/>
    <x v="192"/>
    <n v="87.159999999999968"/>
  </r>
  <r>
    <x v="193"/>
    <x v="19"/>
    <s v="13-Aug-2026"/>
    <s v="C039"/>
    <s v="P1017"/>
    <s v="P1017"/>
    <n v="4"/>
    <n v="292.57"/>
    <n v="0"/>
    <x v="1"/>
    <s v="UPI"/>
    <x v="0"/>
    <s v="Fairlands"/>
    <s v="Charan"/>
    <s v="Beverages"/>
    <x v="19"/>
    <x v="4"/>
    <s v="Tata"/>
    <n v="262.87"/>
    <n v="304.76"/>
    <s v="Kongu Distributors"/>
    <s v="Janani S"/>
    <s v="Male"/>
    <n v="28"/>
    <s v="Erode"/>
    <x v="2"/>
    <d v="2025-01-26T00:00:00"/>
    <n v="1170.28"/>
    <x v="193"/>
    <n v="118.79999999999995"/>
  </r>
  <r>
    <x v="194"/>
    <x v="23"/>
    <s v="31-Aug-2026"/>
    <s v="C034"/>
    <s v="P1015"/>
    <s v="P1015"/>
    <n v="2"/>
    <n v="159.12"/>
    <n v="0.1"/>
    <x v="1"/>
    <s v="UPI"/>
    <x v="1"/>
    <s v="Hasthampatti"/>
    <s v="Ezhil"/>
    <s v="Snacks"/>
    <x v="4"/>
    <x v="2"/>
    <s v="HUL"/>
    <n v="129.75"/>
    <n v="164.29"/>
    <s v="Kongu Distributors"/>
    <s v="Kavin Kumar"/>
    <s v="Female"/>
    <n v="67"/>
    <s v="Erode"/>
    <x v="1"/>
    <d v="2025-09-26T00:00:00"/>
    <n v="318.24"/>
    <x v="194"/>
    <n v="26.915999999999997"/>
  </r>
  <r>
    <x v="195"/>
    <x v="28"/>
    <s v="21-Aug-2026"/>
    <s v="C011"/>
    <s v="P1013"/>
    <s v="P1013"/>
    <n v="5"/>
    <n v="106"/>
    <n v="0"/>
    <x v="2"/>
    <s v="Card"/>
    <x v="1"/>
    <s v="Hasthampatti"/>
    <s v="Ezhil"/>
    <s v="Snacks"/>
    <x v="24"/>
    <x v="2"/>
    <s v="Tata"/>
    <n v="95.3"/>
    <n v="108.26"/>
    <s v="Metro Supply Co"/>
    <s v="Meena Priyan"/>
    <s v="Male"/>
    <n v="35"/>
    <s v="Karur"/>
    <x v="0"/>
    <d v="2026-07-07T00:00:00"/>
    <n v="530"/>
    <x v="195"/>
    <n v="5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047BF-1E88-48C7-9859-90EA1E3166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7" firstHeaderRow="1" firstDataRow="1" firstDataCol="1"/>
  <pivotFields count="32">
    <pivotField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2"/>
    </i>
    <i>
      <x/>
    </i>
    <i>
      <x v="1"/>
    </i>
    <i t="grand">
      <x/>
    </i>
  </rowItems>
  <colItems count="1">
    <i/>
  </colItems>
  <dataFields count="1">
    <dataField name="Sum of Net_Sales" fld="28" baseField="0" baseItem="0"/>
  </dataFields>
  <formats count="1">
    <format dxfId="34">
      <pivotArea outline="0" collapsedLevelsAreSubtotals="1" fieldPosition="0"/>
    </format>
  </format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2"/>
          </reference>
        </references>
      </pivotArea>
    </chartFormat>
    <chartFormat chart="1" format="6">
      <pivotArea type="data" outline="0" fieldPosition="0">
        <references count="2">
          <reference field="4294967294" count="1" selected="0">
            <x v="0"/>
          </reference>
          <reference field="9" count="1" selected="0">
            <x v="0"/>
          </reference>
        </references>
      </pivotArea>
    </chartFormat>
    <chartFormat chart="1"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4AF7C-5061-4238-86B4-2D338C8E24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32">
    <pivotField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showAll="0"/>
    <pivotField showAll="0"/>
    <pivotField showAll="0">
      <items count="4">
        <item x="0"/>
        <item x="1"/>
        <item x="2"/>
        <item t="default"/>
      </items>
    </pivotField>
    <pivotField showAll="0"/>
    <pivotField showAll="0"/>
    <pivotField showAll="0"/>
    <pivotField axis="axisRow" showAll="0" measureFilter="1" sortType="descending">
      <items count="31">
        <item x="24"/>
        <item x="20"/>
        <item x="4"/>
        <item x="3"/>
        <item x="6"/>
        <item x="13"/>
        <item x="8"/>
        <item x="12"/>
        <item x="0"/>
        <item x="22"/>
        <item x="16"/>
        <item x="18"/>
        <item x="14"/>
        <item x="21"/>
        <item x="29"/>
        <item x="19"/>
        <item x="2"/>
        <item x="17"/>
        <item x="15"/>
        <item x="27"/>
        <item x="5"/>
        <item x="28"/>
        <item x="11"/>
        <item x="9"/>
        <item x="10"/>
        <item x="1"/>
        <item x="7"/>
        <item x="25"/>
        <item x="23"/>
        <item x="26"/>
        <item t="default"/>
      </items>
      <autoSortScope>
        <pivotArea dataOnly="0" outline="0" fieldPosition="0">
          <references count="1">
            <reference field="4294967294" count="1" selected="0">
              <x v="0"/>
            </reference>
          </references>
        </pivotArea>
      </autoSortScope>
    </pivotField>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4"/>
    </i>
    <i>
      <x v="7"/>
    </i>
    <i>
      <x v="24"/>
    </i>
    <i>
      <x v="3"/>
    </i>
    <i>
      <x v="8"/>
    </i>
    <i t="grand">
      <x/>
    </i>
  </rowItems>
  <colItems count="1">
    <i/>
  </colItems>
  <dataFields count="1">
    <dataField name="Sum of Net_Sales" fld="28" baseField="0" baseItem="0"/>
  </dataFields>
  <formats count="1">
    <format dxfId="35">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B0013-5F4C-44A6-BBAB-AE99667D4B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6" firstHeaderRow="1" firstDataRow="1" firstDataCol="1"/>
  <pivotFields count="32">
    <pivotField showAll="0"/>
    <pivotField axis="axisRow"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showAll="0"/>
    <pivotField showAll="0"/>
    <pivotField showAll="0">
      <items count="4">
        <item x="0"/>
        <item x="1"/>
        <item x="2"/>
        <item t="default"/>
      </items>
    </pivotField>
    <pivotField showAll="0"/>
    <pivotField showAll="0"/>
    <pivotField showAll="0"/>
    <pivotField showAll="0"/>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1"/>
    <field x="30"/>
    <field x="1"/>
  </rowFields>
  <rowItems count="3">
    <i>
      <x v="8"/>
    </i>
    <i>
      <x v="9"/>
    </i>
    <i t="grand">
      <x/>
    </i>
  </rowItems>
  <colItems count="1">
    <i/>
  </colItems>
  <dataFields count="1">
    <dataField name="Sum of Net_Sales" fld="28" baseField="0" baseItem="0"/>
  </dataFields>
  <formats count="1">
    <format dxfId="3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00730F-113E-4EB7-B32C-E6049E61D4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2">
    <pivotField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7">
    <i>
      <x v="1"/>
    </i>
    <i>
      <x/>
    </i>
    <i>
      <x v="5"/>
    </i>
    <i>
      <x v="2"/>
    </i>
    <i>
      <x v="4"/>
    </i>
    <i>
      <x v="3"/>
    </i>
    <i t="grand">
      <x/>
    </i>
  </rowItems>
  <colItems count="1">
    <i/>
  </colItems>
  <dataFields count="1">
    <dataField name="Sum of Net_Sales" fld="28" baseField="0" baseItem="0" numFmtId="2"/>
  </dataFields>
  <formats count="1">
    <format dxfId="37">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0F111-F8CC-4B04-94BE-E557D2F04BD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3:L14" firstHeaderRow="1" firstDataRow="1" firstDataCol="0"/>
  <pivotFields count="32">
    <pivotField dataField="1"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showAll="0"/>
    <pivotField showAll="0"/>
    <pivotField showAll="0">
      <items count="4">
        <item x="0"/>
        <item x="1"/>
        <item x="2"/>
        <item t="default"/>
      </items>
    </pivotField>
    <pivotField showAll="0"/>
    <pivotField showAll="0"/>
    <pivotField showAll="0"/>
    <pivotField showAll="0"/>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Transaction_ID" fld="0" subtotal="count"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9343CB-D82A-4BFE-8D0C-D5845A7762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3:J14" firstHeaderRow="1" firstDataRow="1" firstDataCol="0"/>
  <pivotFields count="32">
    <pivotField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showAll="0"/>
    <pivotField numFmtId="164" showAll="0"/>
    <pivotField numFmtId="9" showAll="0"/>
    <pivotField showAll="0"/>
    <pivotField showAll="0"/>
    <pivotField showAll="0">
      <items count="4">
        <item x="0"/>
        <item x="1"/>
        <item x="2"/>
        <item t="default"/>
      </items>
    </pivotField>
    <pivotField showAll="0"/>
    <pivotField showAll="0"/>
    <pivotField showAll="0"/>
    <pivotField showAll="0"/>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Sales" fld="28"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3936AD-662F-418E-BCC1-F9703C0B14D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N14" firstHeaderRow="1" firstDataRow="1" firstDataCol="0"/>
  <pivotFields count="32">
    <pivotField showAll="0"/>
    <pivotField numFmtId="14" showAll="0">
      <items count="38">
        <item x="4"/>
        <item x="27"/>
        <item x="33"/>
        <item x="36"/>
        <item x="9"/>
        <item x="30"/>
        <item x="12"/>
        <item x="13"/>
        <item x="22"/>
        <item x="10"/>
        <item x="6"/>
        <item x="35"/>
        <item x="19"/>
        <item x="2"/>
        <item x="5"/>
        <item x="17"/>
        <item x="8"/>
        <item x="31"/>
        <item x="32"/>
        <item x="21"/>
        <item x="28"/>
        <item x="1"/>
        <item x="34"/>
        <item x="11"/>
        <item x="18"/>
        <item x="24"/>
        <item x="3"/>
        <item x="25"/>
        <item x="26"/>
        <item x="15"/>
        <item x="23"/>
        <item x="0"/>
        <item x="14"/>
        <item x="20"/>
        <item x="16"/>
        <item x="29"/>
        <item x="7"/>
        <item t="default"/>
      </items>
    </pivotField>
    <pivotField showAll="0"/>
    <pivotField showAll="0"/>
    <pivotField showAll="0"/>
    <pivotField showAll="0"/>
    <pivotField dataField="1" showAll="0"/>
    <pivotField numFmtId="164" showAll="0"/>
    <pivotField numFmtId="9" showAll="0"/>
    <pivotField showAll="0"/>
    <pivotField showAll="0"/>
    <pivotField showAll="0">
      <items count="4">
        <item x="0"/>
        <item x="1"/>
        <item x="2"/>
        <item t="default"/>
      </items>
    </pivotField>
    <pivotField showAll="0"/>
    <pivotField showAll="0"/>
    <pivotField showAll="0"/>
    <pivotField showAll="0"/>
    <pivotField showAll="0">
      <items count="7">
        <item x="4"/>
        <item x="0"/>
        <item x="1"/>
        <item x="5"/>
        <item x="2"/>
        <item x="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Branch" xr10:uid="{C08F3DFE-BB41-4A9D-B557-BA82F95EC535}" sourceName="Clean_Branch">
  <pivotTables>
    <pivotTable tabId="7" name="PivotTable5"/>
    <pivotTable tabId="7" name="PivotTable6"/>
    <pivotTable tabId="7" name="PivotTable7"/>
    <pivotTable tabId="7" name="PivotTable8"/>
    <pivotTable tabId="7" name="PivotTable9"/>
    <pivotTable tabId="7" name="PivotTable10"/>
    <pivotTable tabId="7" name="PivotTable14"/>
  </pivotTables>
  <data>
    <tabular pivotCacheId="16303363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73D8EC-B653-452C-A868-912986FAF3BB}" sourceName="Category">
  <pivotTables>
    <pivotTable tabId="7" name="PivotTable5"/>
    <pivotTable tabId="7" name="PivotTable6"/>
    <pivotTable tabId="7" name="PivotTable7"/>
    <pivotTable tabId="7" name="PivotTable8"/>
    <pivotTable tabId="7" name="PivotTable9"/>
    <pivotTable tabId="7" name="PivotTable10"/>
    <pivotTable tabId="7" name="PivotTable14"/>
  </pivotTables>
  <data>
    <tabular pivotCacheId="163033634">
      <items count="6">
        <i x="4" s="1"/>
        <i x="0" s="1"/>
        <i x="1"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E4745226-61F5-4273-9A0C-58CDD5A1F8D3}" sourceName="Membership">
  <pivotTables>
    <pivotTable tabId="7" name="PivotTable5"/>
    <pivotTable tabId="7" name="PivotTable6"/>
    <pivotTable tabId="7" name="PivotTable7"/>
    <pivotTable tabId="7" name="PivotTable8"/>
    <pivotTable tabId="7" name="PivotTable9"/>
    <pivotTable tabId="7" name="PivotTable10"/>
    <pivotTable tabId="7" name="PivotTable14"/>
  </pivotTables>
  <data>
    <tabular pivotCacheId="1630336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Branch" xr10:uid="{10FADB87-FF8C-4A6E-8E15-C8B0E9878EE1}" cache="Slicer_Clean_Branch" caption="Clean_Branch" rowHeight="241300"/>
  <slicer name="Category" xr10:uid="{3B2BD295-46E3-42C1-89DE-AA2725D5842D}" cache="Slicer_Category" caption="Category" rowHeight="241300"/>
  <slicer name="Membership" xr10:uid="{99A09E48-5EFA-467F-BAE8-9FC8FBCE86BF}" cache="Slicer_Membership" caption="Membershi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Branch 1" xr10:uid="{9D10725E-4F2C-4961-9022-AC9B0DC7398E}" cache="Slicer_Clean_Branch" caption="Clean_Branch" rowHeight="241300"/>
  <slicer name="Category 2" xr10:uid="{C4E5AA0B-E3D9-41C0-AD97-699685C88B75}" cache="Slicer_Category" caption="Category" rowHeight="241300"/>
  <slicer name="Membership 2" xr10:uid="{E78FEBA7-7F0B-4B9E-80B5-C8DC807B2B3F}" cache="Slicer_Membership" caption="Membershi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2C83E0-2E81-4C01-BC10-A99B8C9D8E42}" name="Table6" displayName="Table6" ref="M3:N7" totalsRowShown="0" headerRowCellStyle="20% - Accent4">
  <autoFilter ref="M3:N7" xr:uid="{CB2C83E0-2E81-4C01-BC10-A99B8C9D8E42}"/>
  <tableColumns count="2">
    <tableColumn id="1" xr3:uid="{AE1721A0-8D23-4E78-A079-B06426818D8E}" name="KPI" dataCellStyle="20% - Accent4"/>
    <tableColumn id="2" xr3:uid="{906A8295-B8F4-4078-AE85-349CB9BE5C4D}"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7C6370-4153-486C-91F3-127F0E2F4B7D}" name="Master_Data" displayName="Master_Data" ref="A1:AD197" totalsRowShown="0" headerRowDxfId="33" dataDxfId="32" tableBorderDxfId="31">
  <autoFilter ref="A1:AD197" xr:uid="{DB7C6370-4153-486C-91F3-127F0E2F4B7D}"/>
  <tableColumns count="30">
    <tableColumn id="1" xr3:uid="{BD23FF5A-6042-498F-A0F8-44AA2C983A8D}" name="Transaction_ID" dataDxfId="30"/>
    <tableColumn id="30" xr3:uid="{3469B006-8A78-4FCE-BE62-967F32EEE8E9}" name="Clean_Sale_Date" dataDxfId="29">
      <calculatedColumnFormula>DATEVALUE(Master_Data[[#This Row],[Sale_Date]])</calculatedColumnFormula>
    </tableColumn>
    <tableColumn id="2" xr3:uid="{2AF50AC2-B8E0-45FE-BB7B-C93CAD9AE42D}" name="Sale_Date" dataDxfId="28"/>
    <tableColumn id="3" xr3:uid="{C150A73A-202A-4226-BAA6-C4B804D23100}" name="Customer_ID" dataDxfId="27"/>
    <tableColumn id="4" xr3:uid="{548E7D3C-C5FD-419B-8891-CB5EBBC7D025}" name=" Clean_Product_ID" dataDxfId="26">
      <calculatedColumnFormula>UPPER(TRIM(Sales_Raw!$F2))</calculatedColumnFormula>
    </tableColumn>
    <tableColumn id="5" xr3:uid="{DE41D9FC-1A5B-426E-93FE-EA90E7187D1A}" name="Product_ID" dataDxfId="25"/>
    <tableColumn id="6" xr3:uid="{EE3F75F4-4ABE-4EBA-82D2-15AACDB9DEAA}" name="Qty" dataDxfId="24"/>
    <tableColumn id="7" xr3:uid="{223C260F-3F6A-4309-AAD4-0137ADC63C98}" name="Unit_Price" dataDxfId="23"/>
    <tableColumn id="8" xr3:uid="{C78926E4-9C72-472F-916B-F083AAA197BD}" name="Discount Percentage" dataDxfId="22" dataCellStyle="Percent"/>
    <tableColumn id="9" xr3:uid="{6D4ADD81-340A-4E62-A581-127E7F9A0123}" name="Clean_Payment_Mode" dataDxfId="21">
      <calculatedColumnFormula>UPPER(TRIM(Sales_Raw!$K2))</calculatedColumnFormula>
    </tableColumn>
    <tableColumn id="10" xr3:uid="{53449C97-374A-4FB1-A4CB-4E8BBB57844F}" name="Payment_Mode" dataDxfId="20"/>
    <tableColumn id="11" xr3:uid="{1B69788B-9EFD-41FC-B899-901447D1BC81}" name="Clean_Branch" dataDxfId="19">
      <calculatedColumnFormula>PROPER(TRIM(Sales_Raw!$M2))</calculatedColumnFormula>
    </tableColumn>
    <tableColumn id="12" xr3:uid="{43799E43-E30D-40A3-9EC6-7532A87BA3AF}" name="Branch" dataDxfId="18"/>
    <tableColumn id="13" xr3:uid="{0B5A8712-1CC9-47AD-8B81-1CD02407CD43}" name="Cashier" dataDxfId="17"/>
    <tableColumn id="14" xr3:uid="{FCA75D92-D54B-4AF6-B1FA-9FAE19BC23CB}" name="Entered_Category" dataDxfId="16"/>
    <tableColumn id="15" xr3:uid="{BCB4B0AF-9DA7-412B-A5F1-82F2C32C315A}" name="Product_Name" dataDxfId="15">
      <calculatedColumnFormula>VLOOKUP(Sales_Raw!$E2,ProductsMasterTable[#All],2,FALSE)</calculatedColumnFormula>
    </tableColumn>
    <tableColumn id="16" xr3:uid="{A2FEFACC-6423-413B-8E2E-86935BCC7728}" name="Category" dataDxfId="14">
      <calculatedColumnFormula>VLOOKUP(Sales_Raw!$E2,ProductsMasterTable[#All],3,FALSE)</calculatedColumnFormula>
    </tableColumn>
    <tableColumn id="17" xr3:uid="{AAFD281A-24B6-41B3-BB43-E74446673226}" name="Brand" dataDxfId="13">
      <calculatedColumnFormula>VLOOKUP(Sales_Raw!$E2,ProductsMasterTable[#All],4,FALSE)</calculatedColumnFormula>
    </tableColumn>
    <tableColumn id="18" xr3:uid="{902C5066-4DA8-446F-9EE9-4812B2ACB9E8}" name="Cost_Price" dataDxfId="12">
      <calculatedColumnFormula>VLOOKUP(Sales_Raw!$E2,ProductsMasterTable[#All],5,FALSE)</calculatedColumnFormula>
    </tableColumn>
    <tableColumn id="19" xr3:uid="{DBFD1651-BB42-409C-94AF-D9D634B57DEA}" name="MRP" dataDxfId="11">
      <calculatedColumnFormula>VLOOKUP(Sales_Raw!$E2,ProductsMasterTable[#All],6,FALSE)</calculatedColumnFormula>
    </tableColumn>
    <tableColumn id="20" xr3:uid="{0026299D-AE0F-4017-861A-608E484ADC45}" name="Supplier" dataDxfId="10">
      <calculatedColumnFormula>VLOOKUP(Sales_Raw!$E2,ProductsMasterTable[#All],7,FALSE)</calculatedColumnFormula>
    </tableColumn>
    <tableColumn id="21" xr3:uid="{1A88BAF0-EA9B-475F-9FE7-CCBC4574AAC5}" name="Customer_Name" dataDxfId="9">
      <calculatedColumnFormula>IFERROR(VLOOKUP(Sales_Raw!$D2,CustomersMasterTable[#All],2,FALSE),"Guest")</calculatedColumnFormula>
    </tableColumn>
    <tableColumn id="22" xr3:uid="{AA2AD692-7DC3-46B3-B5F1-45D7ADC6B3D9}" name="Gender" dataDxfId="8">
      <calculatedColumnFormula>IFERROR(VLOOKUP(Sales_Raw!$D2,CustomersMasterTable[#All],3,FALSE),"Guest")</calculatedColumnFormula>
    </tableColumn>
    <tableColumn id="23" xr3:uid="{13D02877-6B47-4C23-A793-7BD3FF04C1EF}" name="Age" dataDxfId="7">
      <calculatedColumnFormula>IFERROR(VLOOKUP(Sales_Raw!$D2,CustomersMasterTable[#All],4,FALSE),"Guest")</calculatedColumnFormula>
    </tableColumn>
    <tableColumn id="24" xr3:uid="{975DA1E0-59B8-46F8-8FCB-F5D71D991E66}" name="City" dataDxfId="6">
      <calculatedColumnFormula>IFERROR(VLOOKUP(Sales_Raw!$D2,CustomersMasterTable[#All],5,FALSE),"Guest")</calculatedColumnFormula>
    </tableColumn>
    <tableColumn id="25" xr3:uid="{8266C9BB-3A48-4EC0-990C-EB4D991F1B4F}" name="Membership" dataDxfId="5">
      <calculatedColumnFormula>IFERROR(VLOOKUP(Sales_Raw!$D2,CustomersMasterTable[#All],6,FALSE),"Guest")</calculatedColumnFormula>
    </tableColumn>
    <tableColumn id="26" xr3:uid="{AE5F1E47-6651-4652-A7A7-E0AED5F405AC}" name="Join_Date" dataDxfId="4">
      <calculatedColumnFormula>IFERROR(VLOOKUP(Sales_Raw!$D2,CustomersMasterTable[#All],7,FALSE),"Guest")</calculatedColumnFormula>
    </tableColumn>
    <tableColumn id="27" xr3:uid="{F5FBD581-9358-4FEA-95A3-D831A8DD87C1}" name="Gross_ Sales" dataDxfId="3">
      <calculatedColumnFormula>Master_Data[[#This Row],[Qty]]*Master_Data[[#This Row],[Unit_Price]]</calculatedColumnFormula>
    </tableColumn>
    <tableColumn id="28" xr3:uid="{92ED0E90-9842-4F94-9271-9429AB9F8500}" name="Net_Sales" dataDxfId="2">
      <calculatedColumnFormula>Master_Data[[#This Row],[Gross_ Sales]]*(1-Master_Data[[#This Row],[Discount Percentage]])</calculatedColumnFormula>
    </tableColumn>
    <tableColumn id="29" xr3:uid="{9958288B-2892-4C49-B9AF-75183E084020}" name="Profit" dataDxfId="1">
      <calculatedColumnFormula>Master_Data[[#This Row],[Net_Sales]]-(Master_Data[[#This Row],[Qty]]*Master_Data[[#This Row],[Cost_Price]])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MasterTable" displayName="ProductsMasterTable" ref="A1:G31" totalsRowShown="0">
  <tableColumns count="7">
    <tableColumn id="1" xr3:uid="{00000000-0010-0000-0100-000001000000}" name="Product_ID"/>
    <tableColumn id="2" xr3:uid="{00000000-0010-0000-0100-000002000000}" name="Product_Name"/>
    <tableColumn id="3" xr3:uid="{00000000-0010-0000-0100-000003000000}" name="Category"/>
    <tableColumn id="4" xr3:uid="{00000000-0010-0000-0100-000004000000}" name="Brand"/>
    <tableColumn id="5" xr3:uid="{00000000-0010-0000-0100-000005000000}" name="Cost_Price"/>
    <tableColumn id="6" xr3:uid="{00000000-0010-0000-0100-000006000000}" name="MRP"/>
    <tableColumn id="7" xr3:uid="{00000000-0010-0000-0100-000007000000}" name="Sup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ustomersMasterTable" displayName="CustomersMasterTable" ref="A1:G61" totalsRowShown="0">
  <autoFilter ref="A1:G61" xr:uid="{00000000-000C-0000-FFFF-FFFF02000000}"/>
  <tableColumns count="7">
    <tableColumn id="1" xr3:uid="{00000000-0010-0000-0200-000001000000}" name="Customer_ID"/>
    <tableColumn id="2" xr3:uid="{00000000-0010-0000-0200-000002000000}" name="Customer_Name"/>
    <tableColumn id="3" xr3:uid="{00000000-0010-0000-0200-000003000000}" name="Gender"/>
    <tableColumn id="4" xr3:uid="{00000000-0010-0000-0200-000004000000}" name="Age"/>
    <tableColumn id="5" xr3:uid="{00000000-0010-0000-0200-000005000000}" name="City"/>
    <tableColumn id="6" xr3:uid="{00000000-0010-0000-0200-000006000000}" name="Membership"/>
    <tableColumn id="7" xr3:uid="{00000000-0010-0000-0200-000007000000}" name="Join_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1460-DB97-44F8-BA6F-55C86BD60BCB}">
  <dimension ref="A3:Q14"/>
  <sheetViews>
    <sheetView topLeftCell="A2" workbookViewId="0">
      <selection activeCell="Q8" sqref="Q8"/>
    </sheetView>
  </sheetViews>
  <sheetFormatPr defaultRowHeight="14.25"/>
  <cols>
    <col min="1" max="1" width="13.125" bestFit="1" customWidth="1"/>
    <col min="2" max="2" width="16.625" bestFit="1" customWidth="1"/>
    <col min="4" max="4" width="13.125" bestFit="1" customWidth="1"/>
    <col min="5" max="5" width="16.625" bestFit="1" customWidth="1"/>
    <col min="7" max="7" width="13.125" bestFit="1" customWidth="1"/>
    <col min="8" max="8" width="16.625" bestFit="1" customWidth="1"/>
    <col min="10" max="10" width="10.75" bestFit="1" customWidth="1"/>
    <col min="11" max="11" width="16.625" bestFit="1" customWidth="1"/>
    <col min="12" max="12" width="22.75" bestFit="1" customWidth="1"/>
    <col min="13" max="13" width="18.875" bestFit="1" customWidth="1"/>
    <col min="14" max="14" width="10.5" bestFit="1" customWidth="1"/>
    <col min="15" max="15" width="12.125" bestFit="1" customWidth="1"/>
    <col min="16" max="16" width="13.125" bestFit="1" customWidth="1"/>
    <col min="17" max="17" width="16.625" bestFit="1" customWidth="1"/>
    <col min="18" max="18" width="7.875" bestFit="1" customWidth="1"/>
    <col min="19" max="19" width="8.875" bestFit="1" customWidth="1"/>
    <col min="20" max="21" width="6.875" bestFit="1" customWidth="1"/>
    <col min="22" max="22" width="7.875" bestFit="1" customWidth="1"/>
    <col min="23" max="23" width="6.875" bestFit="1" customWidth="1"/>
    <col min="24" max="24" width="5.875" bestFit="1" customWidth="1"/>
    <col min="25" max="25" width="7.875" bestFit="1" customWidth="1"/>
    <col min="26" max="27" width="6.875" bestFit="1" customWidth="1"/>
    <col min="28" max="28" width="7.875" bestFit="1" customWidth="1"/>
    <col min="29" max="29" width="11.375" bestFit="1" customWidth="1"/>
  </cols>
  <sheetData>
    <row r="3" spans="1:17" ht="15">
      <c r="A3" s="19" t="s">
        <v>491</v>
      </c>
      <c r="B3" t="s">
        <v>497</v>
      </c>
      <c r="D3" s="19" t="s">
        <v>491</v>
      </c>
      <c r="E3" t="s">
        <v>497</v>
      </c>
      <c r="G3" s="19" t="s">
        <v>491</v>
      </c>
      <c r="H3" t="s">
        <v>497</v>
      </c>
      <c r="J3" s="19" t="s">
        <v>491</v>
      </c>
      <c r="K3" t="s">
        <v>497</v>
      </c>
      <c r="M3" s="29" t="s">
        <v>502</v>
      </c>
      <c r="N3" s="29" t="s">
        <v>513</v>
      </c>
    </row>
    <row r="4" spans="1:17" ht="15">
      <c r="A4" s="20" t="s">
        <v>17</v>
      </c>
      <c r="B4" s="26">
        <v>40568.287999999993</v>
      </c>
      <c r="D4" s="20" t="s">
        <v>499</v>
      </c>
      <c r="E4" s="26">
        <v>136636.57249999998</v>
      </c>
      <c r="G4" s="20" t="s">
        <v>22</v>
      </c>
      <c r="H4" s="26">
        <v>60933.12099999997</v>
      </c>
      <c r="J4" s="20" t="s">
        <v>390</v>
      </c>
      <c r="K4" s="26">
        <v>16201.041499999999</v>
      </c>
      <c r="M4" s="29" t="s">
        <v>503</v>
      </c>
      <c r="N4" s="30">
        <f>SUM(Master_Data[Net_Sales])</f>
        <v>161291.92350000003</v>
      </c>
    </row>
    <row r="5" spans="1:17" ht="15">
      <c r="A5" s="20" t="s">
        <v>65</v>
      </c>
      <c r="B5" s="26">
        <v>36637.476499999997</v>
      </c>
      <c r="D5" s="20" t="s">
        <v>500</v>
      </c>
      <c r="E5" s="26">
        <v>24655.351000000002</v>
      </c>
      <c r="G5" s="20" t="s">
        <v>102</v>
      </c>
      <c r="H5" s="26">
        <v>59999.534999999996</v>
      </c>
      <c r="J5" s="20" t="s">
        <v>401</v>
      </c>
      <c r="K5" s="26">
        <v>12841.1325</v>
      </c>
      <c r="M5" s="29" t="s">
        <v>504</v>
      </c>
      <c r="N5" s="29">
        <f>COUNTA(Master_Data[Transaction_ID])</f>
        <v>196</v>
      </c>
    </row>
    <row r="6" spans="1:17" ht="15">
      <c r="A6" s="20" t="s">
        <v>54</v>
      </c>
      <c r="B6" s="26">
        <v>27322.548999999999</v>
      </c>
      <c r="D6" s="20" t="s">
        <v>492</v>
      </c>
      <c r="E6" s="26">
        <v>161291.92349999998</v>
      </c>
      <c r="G6" s="20" t="s">
        <v>501</v>
      </c>
      <c r="H6" s="26">
        <v>40359.267500000002</v>
      </c>
      <c r="J6" s="20" t="s">
        <v>402</v>
      </c>
      <c r="K6" s="26">
        <v>12782.023499999999</v>
      </c>
      <c r="M6" s="32" t="s">
        <v>505</v>
      </c>
      <c r="N6" s="29">
        <f>SUM(Master_Data[Qty])</f>
        <v>680</v>
      </c>
    </row>
    <row r="7" spans="1:17" ht="15">
      <c r="A7" s="20" t="s">
        <v>25</v>
      </c>
      <c r="B7" s="26">
        <v>19525.543000000005</v>
      </c>
      <c r="G7" s="20" t="s">
        <v>492</v>
      </c>
      <c r="H7" s="26">
        <v>161291.92349999998</v>
      </c>
      <c r="J7" s="20" t="s">
        <v>389</v>
      </c>
      <c r="K7" s="26">
        <v>12779.545999999998</v>
      </c>
      <c r="M7" s="32" t="s">
        <v>506</v>
      </c>
      <c r="N7" s="30">
        <f>N4/N5</f>
        <v>822.91797704081648</v>
      </c>
      <c r="P7" t="s">
        <v>506</v>
      </c>
      <c r="Q7">
        <f>IFERROR(GETPIVOTDATA("Net_Sales",$J$13)/GETPIVOTDATA("Transaction_ID",$L$13),0)</f>
        <v>822.91797704081648</v>
      </c>
    </row>
    <row r="8" spans="1:17">
      <c r="A8" s="20" t="s">
        <v>30</v>
      </c>
      <c r="B8" s="26">
        <v>18771.894499999999</v>
      </c>
      <c r="J8" s="20" t="s">
        <v>384</v>
      </c>
      <c r="K8" s="26">
        <v>10358.282499999999</v>
      </c>
    </row>
    <row r="9" spans="1:17">
      <c r="A9" s="20" t="s">
        <v>80</v>
      </c>
      <c r="B9" s="26">
        <v>18466.172500000001</v>
      </c>
      <c r="J9" s="20" t="s">
        <v>492</v>
      </c>
      <c r="K9" s="26">
        <v>64962.025999999998</v>
      </c>
    </row>
    <row r="10" spans="1:17">
      <c r="A10" s="20" t="s">
        <v>492</v>
      </c>
      <c r="B10" s="26">
        <v>161291.9235</v>
      </c>
    </row>
    <row r="13" spans="1:17">
      <c r="J13" t="s">
        <v>503</v>
      </c>
      <c r="L13" t="s">
        <v>507</v>
      </c>
      <c r="N13" t="s">
        <v>512</v>
      </c>
    </row>
    <row r="14" spans="1:17">
      <c r="J14" s="26">
        <v>161291.92350000003</v>
      </c>
      <c r="L14">
        <v>196</v>
      </c>
      <c r="N14">
        <v>680</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0945-E4CD-4561-8EEC-45E40B848575}">
  <dimension ref="D1:S11"/>
  <sheetViews>
    <sheetView showGridLines="0" tabSelected="1" zoomScale="97" zoomScaleNormal="55" workbookViewId="0">
      <selection activeCell="S17" sqref="S17"/>
    </sheetView>
  </sheetViews>
  <sheetFormatPr defaultRowHeight="14.25"/>
  <cols>
    <col min="19" max="19" width="16.75" bestFit="1" customWidth="1"/>
  </cols>
  <sheetData>
    <row r="1" spans="4:19">
      <c r="F1">
        <f>GETPIVOTDATA("Transaction_ID",'Pivot Analyse'!$L$13)</f>
        <v>196</v>
      </c>
      <c r="H1">
        <f>GETPIVOTDATA("Qty",'Pivot Analyse'!$N$13)</f>
        <v>680</v>
      </c>
      <c r="J1">
        <f>'Pivot Analyse'!Q7</f>
        <v>822.91797704081648</v>
      </c>
    </row>
    <row r="2" spans="4:19">
      <c r="D2">
        <f>GETPIVOTDATA("Net_Sales",'Pivot Analyse'!$J$13)</f>
        <v>161291.92350000003</v>
      </c>
      <c r="J2" s="33"/>
    </row>
    <row r="4" spans="4:19">
      <c r="S4" s="34"/>
    </row>
    <row r="11" spans="4:19" ht="25.5">
      <c r="S11"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7"/>
  <sheetViews>
    <sheetView topLeftCell="T1" workbookViewId="0">
      <selection activeCell="AE1" sqref="AE1"/>
    </sheetView>
  </sheetViews>
  <sheetFormatPr defaultRowHeight="14.25"/>
  <cols>
    <col min="1" max="2" width="16.125" customWidth="1"/>
    <col min="3" max="3" width="14" customWidth="1"/>
    <col min="4" max="4" width="14.25" customWidth="1"/>
    <col min="5" max="5" width="19.25" customWidth="1"/>
    <col min="6" max="6" width="12.625" customWidth="1"/>
    <col min="7" max="7" width="12" customWidth="1"/>
    <col min="8" max="8" width="13" customWidth="1"/>
    <col min="9" max="9" width="15" style="6" customWidth="1"/>
    <col min="10" max="10" width="22.375" customWidth="1"/>
    <col min="11" max="12" width="18" customWidth="1"/>
    <col min="13" max="13" width="12" customWidth="1"/>
    <col min="14" max="14" width="18" customWidth="1"/>
    <col min="15" max="15" width="18.875" customWidth="1"/>
    <col min="16" max="16" width="16" bestFit="1" customWidth="1"/>
    <col min="17" max="17" width="10.75" customWidth="1"/>
    <col min="19" max="19" width="12.5" customWidth="1"/>
    <col min="21" max="21" width="19.5" bestFit="1" customWidth="1"/>
    <col min="22" max="22" width="17.375" customWidth="1"/>
    <col min="23" max="23" width="9.5" customWidth="1"/>
    <col min="26" max="26" width="13.75" customWidth="1"/>
    <col min="27" max="27" width="12.625" bestFit="1" customWidth="1"/>
  </cols>
  <sheetData>
    <row r="1" spans="1:30" ht="30">
      <c r="A1" s="3" t="s">
        <v>0</v>
      </c>
      <c r="B1" s="3" t="s">
        <v>498</v>
      </c>
      <c r="C1" s="3" t="s">
        <v>1</v>
      </c>
      <c r="D1" s="3" t="s">
        <v>2</v>
      </c>
      <c r="E1" s="3" t="s">
        <v>487</v>
      </c>
      <c r="F1" s="3" t="s">
        <v>3</v>
      </c>
      <c r="G1" s="3" t="s">
        <v>4</v>
      </c>
      <c r="H1" s="3" t="s">
        <v>5</v>
      </c>
      <c r="I1" s="21" t="s">
        <v>493</v>
      </c>
      <c r="J1" s="3" t="s">
        <v>488</v>
      </c>
      <c r="K1" s="3" t="s">
        <v>6</v>
      </c>
      <c r="L1" s="3" t="s">
        <v>489</v>
      </c>
      <c r="M1" s="3" t="s">
        <v>7</v>
      </c>
      <c r="N1" s="22" t="s">
        <v>8</v>
      </c>
      <c r="O1" s="3" t="s">
        <v>9</v>
      </c>
      <c r="P1" s="3" t="s">
        <v>363</v>
      </c>
      <c r="Q1" s="3" t="s">
        <v>364</v>
      </c>
      <c r="R1" s="3" t="s">
        <v>365</v>
      </c>
      <c r="S1" s="3" t="s">
        <v>366</v>
      </c>
      <c r="T1" s="3" t="s">
        <v>367</v>
      </c>
      <c r="U1" s="3" t="s">
        <v>368</v>
      </c>
      <c r="V1" s="3" t="s">
        <v>414</v>
      </c>
      <c r="W1" s="3" t="s">
        <v>415</v>
      </c>
      <c r="X1" s="3" t="s">
        <v>416</v>
      </c>
      <c r="Y1" s="3" t="s">
        <v>417</v>
      </c>
      <c r="Z1" s="3" t="s">
        <v>418</v>
      </c>
      <c r="AA1" s="3" t="s">
        <v>419</v>
      </c>
      <c r="AB1" s="24" t="s">
        <v>494</v>
      </c>
      <c r="AC1" s="25" t="s">
        <v>495</v>
      </c>
      <c r="AD1" s="25" t="s">
        <v>496</v>
      </c>
    </row>
    <row r="2" spans="1:30" ht="15">
      <c r="A2" s="8" t="s">
        <v>10</v>
      </c>
      <c r="B2" s="27">
        <f>DATEVALUE(Master_Data[[#This Row],[Sale_Date]])</f>
        <v>46266</v>
      </c>
      <c r="C2" s="8" t="s">
        <v>11</v>
      </c>
      <c r="D2" s="8" t="s">
        <v>12</v>
      </c>
      <c r="E2" s="8" t="str">
        <f>UPPER(TRIM(Sales_Raw!$F2))</f>
        <v>P1008</v>
      </c>
      <c r="F2" s="8" t="s">
        <v>13</v>
      </c>
      <c r="G2" s="8">
        <v>3</v>
      </c>
      <c r="H2" s="9">
        <v>460.71</v>
      </c>
      <c r="I2" s="10">
        <v>0.15</v>
      </c>
      <c r="J2" s="8" t="str">
        <f>UPPER(TRIM(Sales_Raw!$K2))</f>
        <v>CASH</v>
      </c>
      <c r="K2" s="8" t="s">
        <v>14</v>
      </c>
      <c r="L2" s="8" t="str">
        <f>PROPER(TRIM(Sales_Raw!$M2))</f>
        <v>Fairlands</v>
      </c>
      <c r="M2" s="8" t="s">
        <v>15</v>
      </c>
      <c r="N2" s="7" t="s">
        <v>16</v>
      </c>
      <c r="O2" s="8" t="s">
        <v>17</v>
      </c>
      <c r="P2" s="11" t="str">
        <f>VLOOKUP(Sales_Raw!$E2,ProductsMasterTable[#All],2,FALSE)</f>
        <v>Curd 500g</v>
      </c>
      <c r="Q2" s="11" t="str">
        <f>VLOOKUP(Sales_Raw!$E2,ProductsMasterTable[#All],3,FALSE)</f>
        <v>Dairy</v>
      </c>
      <c r="R2" s="11" t="str">
        <f>VLOOKUP(Sales_Raw!$E2,ProductsMasterTable[#All],4,FALSE)</f>
        <v>Aavin</v>
      </c>
      <c r="S2" s="11">
        <f>VLOOKUP(Sales_Raw!$E2,ProductsMasterTable[#All],5,FALSE)</f>
        <v>402.8</v>
      </c>
      <c r="T2" s="11">
        <f>VLOOKUP(Sales_Raw!$E2,ProductsMasterTable[#All],6,FALSE)</f>
        <v>482.32</v>
      </c>
      <c r="U2" s="11" t="str">
        <f>VLOOKUP(Sales_Raw!$E2,ProductsMasterTable[#All],7,FALSE)</f>
        <v>FreshLine Traders</v>
      </c>
      <c r="V2" s="11" t="str">
        <f>IFERROR(VLOOKUP(Sales_Raw!$D2,CustomersMasterTable[#All],2,FALSE),"Guest")</f>
        <v>Divya R</v>
      </c>
      <c r="W2" s="11" t="str">
        <f>IFERROR(VLOOKUP(Sales_Raw!$D2,CustomersMasterTable[#All],3,FALSE),"Guest")</f>
        <v>Female</v>
      </c>
      <c r="X2" s="11">
        <f>IFERROR(VLOOKUP(Sales_Raw!$D2,CustomersMasterTable[#All],4,FALSE),"Guest")</f>
        <v>20</v>
      </c>
      <c r="Y2" s="11" t="str">
        <f>IFERROR(VLOOKUP(Sales_Raw!$D2,CustomersMasterTable[#All],5,FALSE),"Guest")</f>
        <v>Coimbatore</v>
      </c>
      <c r="Z2" s="11" t="str">
        <f>IFERROR(VLOOKUP(Sales_Raw!$D2,CustomersMasterTable[#All],6,FALSE),"Guest")</f>
        <v>Regular</v>
      </c>
      <c r="AA2" s="17">
        <f>IFERROR(VLOOKUP(Sales_Raw!$D2,CustomersMasterTable[#All],7,FALSE),"Guest")</f>
        <v>46129</v>
      </c>
      <c r="AB2" s="23">
        <f>Master_Data[[#This Row],[Qty]]*Master_Data[[#This Row],[Unit_Price]]</f>
        <v>1382.1299999999999</v>
      </c>
      <c r="AC2" s="23">
        <f>Master_Data[[#This Row],[Gross_ Sales]]*(1-Master_Data[[#This Row],[Discount Percentage]])</f>
        <v>1174.8104999999998</v>
      </c>
      <c r="AD2" s="23">
        <f>Master_Data[[#This Row],[Net_Sales]]-(Master_Data[[#This Row],[Qty]]*Master_Data[[#This Row],[Cost_Price]])</f>
        <v>-33.589500000000271</v>
      </c>
    </row>
    <row r="3" spans="1:30" ht="15">
      <c r="A3" s="13" t="s">
        <v>18</v>
      </c>
      <c r="B3" s="28">
        <f>DATEVALUE(Master_Data[[#This Row],[Sale_Date]])</f>
        <v>46256</v>
      </c>
      <c r="C3" s="13" t="s">
        <v>19</v>
      </c>
      <c r="D3" s="13" t="s">
        <v>20</v>
      </c>
      <c r="E3" s="13" t="str">
        <f>UPPER(TRIM(Sales_Raw!$F3))</f>
        <v>P1029</v>
      </c>
      <c r="F3" s="13" t="s">
        <v>21</v>
      </c>
      <c r="G3" s="13">
        <v>5</v>
      </c>
      <c r="H3" s="14">
        <v>137.59</v>
      </c>
      <c r="I3" s="15">
        <v>0</v>
      </c>
      <c r="J3" s="13" t="str">
        <f>UPPER(TRIM(Sales_Raw!$K3))</f>
        <v>UPI</v>
      </c>
      <c r="K3" s="13" t="s">
        <v>22</v>
      </c>
      <c r="L3" s="13" t="str">
        <f>PROPER(TRIM(Sales_Raw!$M3))</f>
        <v>Hasthampatti</v>
      </c>
      <c r="M3" s="13" t="s">
        <v>23</v>
      </c>
      <c r="N3" s="12" t="s">
        <v>24</v>
      </c>
      <c r="O3" s="13" t="s">
        <v>25</v>
      </c>
      <c r="P3" s="16" t="str">
        <f>VLOOKUP(Sales_Raw!$E3,ProductsMasterTable[#All],2,FALSE)</f>
        <v>Tissue Roll</v>
      </c>
      <c r="Q3" s="16" t="str">
        <f>VLOOKUP(Sales_Raw!$E3,ProductsMasterTable[#All],3,FALSE)</f>
        <v>Household</v>
      </c>
      <c r="R3" s="16" t="str">
        <f>VLOOKUP(Sales_Raw!$E3,ProductsMasterTable[#All],4,FALSE)</f>
        <v>Aachi</v>
      </c>
      <c r="S3" s="16">
        <f>VLOOKUP(Sales_Raw!$E3,ProductsMasterTable[#All],5,FALSE)</f>
        <v>119.07</v>
      </c>
      <c r="T3" s="16">
        <f>VLOOKUP(Sales_Raw!$E3,ProductsMasterTable[#All],6,FALSE)</f>
        <v>148.51</v>
      </c>
      <c r="U3" s="16" t="str">
        <f>VLOOKUP(Sales_Raw!$E3,ProductsMasterTable[#All],7,FALSE)</f>
        <v>Salem Wholesale Mart</v>
      </c>
      <c r="V3" s="16" t="str">
        <f>IFERROR(VLOOKUP(Sales_Raw!$D3,CustomersMasterTable[#All],2,FALSE),"Guest")</f>
        <v>Gayathri Kumar</v>
      </c>
      <c r="W3" s="16" t="str">
        <f>IFERROR(VLOOKUP(Sales_Raw!$D3,CustomersMasterTable[#All],3,FALSE),"Guest")</f>
        <v>Female</v>
      </c>
      <c r="X3" s="16">
        <f>IFERROR(VLOOKUP(Sales_Raw!$D3,CustomersMasterTable[#All],4,FALSE),"Guest")</f>
        <v>21</v>
      </c>
      <c r="Y3" s="16" t="str">
        <f>IFERROR(VLOOKUP(Sales_Raw!$D3,CustomersMasterTable[#All],5,FALSE),"Guest")</f>
        <v>Salem</v>
      </c>
      <c r="Z3" s="16" t="str">
        <f>IFERROR(VLOOKUP(Sales_Raw!$D3,CustomersMasterTable[#All],6,FALSE),"Guest")</f>
        <v>Silver</v>
      </c>
      <c r="AA3" s="18">
        <f>IFERROR(VLOOKUP(Sales_Raw!$D3,CustomersMasterTable[#All],7,FALSE),"Guest")</f>
        <v>46172</v>
      </c>
      <c r="AB3" s="23">
        <f>Master_Data[[#This Row],[Qty]]*Master_Data[[#This Row],[Unit_Price]]</f>
        <v>687.95</v>
      </c>
      <c r="AC3" s="23">
        <f>Master_Data[[#This Row],[Gross_ Sales]]*(1-Master_Data[[#This Row],[Discount Percentage]])</f>
        <v>687.95</v>
      </c>
      <c r="AD3" s="23">
        <f>Master_Data[[#This Row],[Net_Sales]]-(Master_Data[[#This Row],[Qty]]*Master_Data[[#This Row],[Cost_Price]])</f>
        <v>92.600000000000136</v>
      </c>
    </row>
    <row r="4" spans="1:30" ht="15">
      <c r="A4" s="8" t="s">
        <v>26</v>
      </c>
      <c r="B4" s="27">
        <f>DATEVALUE(Master_Data[[#This Row],[Sale_Date]])</f>
        <v>46248</v>
      </c>
      <c r="C4" s="8" t="s">
        <v>27</v>
      </c>
      <c r="D4" s="8" t="s">
        <v>28</v>
      </c>
      <c r="E4" s="8" t="str">
        <f>UPPER(TRIM(Sales_Raw!$F4))</f>
        <v>P1014</v>
      </c>
      <c r="F4" s="8" t="s">
        <v>29</v>
      </c>
      <c r="G4" s="8">
        <v>4</v>
      </c>
      <c r="H4" s="9">
        <v>516.02</v>
      </c>
      <c r="I4" s="10">
        <v>0.05</v>
      </c>
      <c r="J4" s="8" t="str">
        <f>UPPER(TRIM(Sales_Raw!$K4))</f>
        <v>CASH</v>
      </c>
      <c r="K4" s="8" t="s">
        <v>14</v>
      </c>
      <c r="L4" s="8" t="str">
        <f>PROPER(TRIM(Sales_Raw!$M4))</f>
        <v>Fairlands</v>
      </c>
      <c r="M4" s="8" t="s">
        <v>15</v>
      </c>
      <c r="N4" s="7" t="s">
        <v>24</v>
      </c>
      <c r="O4" s="8" t="s">
        <v>30</v>
      </c>
      <c r="P4" s="11" t="str">
        <f>VLOOKUP(Sales_Raw!$E4,ProductsMasterTable[#All],2,FALSE)</f>
        <v>Mixture 250g</v>
      </c>
      <c r="Q4" s="11" t="str">
        <f>VLOOKUP(Sales_Raw!$E4,ProductsMasterTable[#All],3,FALSE)</f>
        <v>Snacks</v>
      </c>
      <c r="R4" s="11" t="str">
        <f>VLOOKUP(Sales_Raw!$E4,ProductsMasterTable[#All],4,FALSE)</f>
        <v>Aavin</v>
      </c>
      <c r="S4" s="11">
        <f>VLOOKUP(Sales_Raw!$E4,ProductsMasterTable[#All],5,FALSE)</f>
        <v>414.06</v>
      </c>
      <c r="T4" s="11">
        <f>VLOOKUP(Sales_Raw!$E4,ProductsMasterTable[#All],6,FALSE)</f>
        <v>545.20000000000005</v>
      </c>
      <c r="U4" s="11" t="str">
        <f>VLOOKUP(Sales_Raw!$E4,ProductsMasterTable[#All],7,FALSE)</f>
        <v>FreshLine Traders</v>
      </c>
      <c r="V4" s="11" t="str">
        <f>IFERROR(VLOOKUP(Sales_Raw!$D4,CustomersMasterTable[#All],2,FALSE),"Guest")</f>
        <v>Anitha M</v>
      </c>
      <c r="W4" s="11" t="str">
        <f>IFERROR(VLOOKUP(Sales_Raw!$D4,CustomersMasterTable[#All],3,FALSE),"Guest")</f>
        <v>Male</v>
      </c>
      <c r="X4" s="11">
        <f>IFERROR(VLOOKUP(Sales_Raw!$D4,CustomersMasterTable[#All],4,FALSE),"Guest")</f>
        <v>33</v>
      </c>
      <c r="Y4" s="11" t="str">
        <f>IFERROR(VLOOKUP(Sales_Raw!$D4,CustomersMasterTable[#All],5,FALSE),"Guest")</f>
        <v>Dharmapuri</v>
      </c>
      <c r="Z4" s="11" t="str">
        <f>IFERROR(VLOOKUP(Sales_Raw!$D4,CustomersMasterTable[#All],6,FALSE),"Guest")</f>
        <v>Gold</v>
      </c>
      <c r="AA4" s="17">
        <f>IFERROR(VLOOKUP(Sales_Raw!$D4,CustomersMasterTable[#All],7,FALSE),"Guest")</f>
        <v>45745</v>
      </c>
      <c r="AB4" s="23">
        <f>Master_Data[[#This Row],[Qty]]*Master_Data[[#This Row],[Unit_Price]]</f>
        <v>2064.08</v>
      </c>
      <c r="AC4" s="23">
        <f>Master_Data[[#This Row],[Gross_ Sales]]*(1-Master_Data[[#This Row],[Discount Percentage]])</f>
        <v>1960.8759999999997</v>
      </c>
      <c r="AD4" s="23">
        <f>Master_Data[[#This Row],[Net_Sales]]-(Master_Data[[#This Row],[Qty]]*Master_Data[[#This Row],[Cost_Price]])</f>
        <v>304.63599999999974</v>
      </c>
    </row>
    <row r="5" spans="1:30" ht="15">
      <c r="A5" s="13" t="s">
        <v>31</v>
      </c>
      <c r="B5" s="28">
        <f>DATEVALUE(Master_Data[[#This Row],[Sale_Date]])</f>
        <v>46261</v>
      </c>
      <c r="C5" s="13" t="s">
        <v>32</v>
      </c>
      <c r="D5" s="13" t="s">
        <v>33</v>
      </c>
      <c r="E5" s="13" t="str">
        <f>UPPER(TRIM(Sales_Raw!$F5))</f>
        <v>P1029</v>
      </c>
      <c r="F5" s="13" t="s">
        <v>21</v>
      </c>
      <c r="G5" s="13">
        <v>5</v>
      </c>
      <c r="H5" s="14">
        <v>147.87</v>
      </c>
      <c r="I5" s="15">
        <v>0</v>
      </c>
      <c r="J5" s="13" t="str">
        <f>UPPER(TRIM(Sales_Raw!$K5))</f>
        <v>CARD</v>
      </c>
      <c r="K5" s="13" t="s">
        <v>34</v>
      </c>
      <c r="L5" s="13" t="str">
        <f>PROPER(TRIM(Sales_Raw!$M5))</f>
        <v>Hasthampatti</v>
      </c>
      <c r="M5" s="13" t="s">
        <v>23</v>
      </c>
      <c r="N5" s="12" t="s">
        <v>35</v>
      </c>
      <c r="O5" s="13" t="s">
        <v>25</v>
      </c>
      <c r="P5" s="16" t="str">
        <f>VLOOKUP(Sales_Raw!$E5,ProductsMasterTable[#All],2,FALSE)</f>
        <v>Tissue Roll</v>
      </c>
      <c r="Q5" s="16" t="str">
        <f>VLOOKUP(Sales_Raw!$E5,ProductsMasterTable[#All],3,FALSE)</f>
        <v>Household</v>
      </c>
      <c r="R5" s="16" t="str">
        <f>VLOOKUP(Sales_Raw!$E5,ProductsMasterTable[#All],4,FALSE)</f>
        <v>Aachi</v>
      </c>
      <c r="S5" s="16">
        <f>VLOOKUP(Sales_Raw!$E5,ProductsMasterTable[#All],5,FALSE)</f>
        <v>119.07</v>
      </c>
      <c r="T5" s="16">
        <f>VLOOKUP(Sales_Raw!$E5,ProductsMasterTable[#All],6,FALSE)</f>
        <v>148.51</v>
      </c>
      <c r="U5" s="16" t="str">
        <f>VLOOKUP(Sales_Raw!$E5,ProductsMasterTable[#All],7,FALSE)</f>
        <v>Salem Wholesale Mart</v>
      </c>
      <c r="V5" s="16" t="str">
        <f>IFERROR(VLOOKUP(Sales_Raw!$D5,CustomersMasterTable[#All],2,FALSE),"Guest")</f>
        <v>Surya Priyan</v>
      </c>
      <c r="W5" s="16" t="str">
        <f>IFERROR(VLOOKUP(Sales_Raw!$D5,CustomersMasterTable[#All],3,FALSE),"Guest")</f>
        <v>Female</v>
      </c>
      <c r="X5" s="16">
        <f>IFERROR(VLOOKUP(Sales_Raw!$D5,CustomersMasterTable[#All],4,FALSE),"Guest")</f>
        <v>34</v>
      </c>
      <c r="Y5" s="16" t="str">
        <f>IFERROR(VLOOKUP(Sales_Raw!$D5,CustomersMasterTable[#All],5,FALSE),"Guest")</f>
        <v>Erode</v>
      </c>
      <c r="Z5" s="16" t="str">
        <f>IFERROR(VLOOKUP(Sales_Raw!$D5,CustomersMasterTable[#All],6,FALSE),"Guest")</f>
        <v>Silver</v>
      </c>
      <c r="AA5" s="18">
        <f>IFERROR(VLOOKUP(Sales_Raw!$D5,CustomersMasterTable[#All],7,FALSE),"Guest")</f>
        <v>45979</v>
      </c>
      <c r="AB5" s="23">
        <f>Master_Data[[#This Row],[Qty]]*Master_Data[[#This Row],[Unit_Price]]</f>
        <v>739.35</v>
      </c>
      <c r="AC5" s="23">
        <f>Master_Data[[#This Row],[Gross_ Sales]]*(1-Master_Data[[#This Row],[Discount Percentage]])</f>
        <v>739.35</v>
      </c>
      <c r="AD5" s="23">
        <f>Master_Data[[#This Row],[Net_Sales]]-(Master_Data[[#This Row],[Qty]]*Master_Data[[#This Row],[Cost_Price]])</f>
        <v>144.00000000000011</v>
      </c>
    </row>
    <row r="6" spans="1:30" ht="29.25">
      <c r="A6" s="8" t="s">
        <v>36</v>
      </c>
      <c r="B6" s="27">
        <f>DATEVALUE(Master_Data[[#This Row],[Sale_Date]])</f>
        <v>46235</v>
      </c>
      <c r="C6" s="8" t="s">
        <v>37</v>
      </c>
      <c r="D6" s="8" t="s">
        <v>38</v>
      </c>
      <c r="E6" s="8" t="str">
        <f>UPPER(TRIM(Sales_Raw!$F6))</f>
        <v>P1010</v>
      </c>
      <c r="F6" s="8" t="s">
        <v>39</v>
      </c>
      <c r="G6" s="8">
        <v>4</v>
      </c>
      <c r="H6" s="9">
        <v>435.88</v>
      </c>
      <c r="I6" s="10">
        <v>0.05</v>
      </c>
      <c r="J6" s="8" t="str">
        <f>UPPER(TRIM(Sales_Raw!$K6))</f>
        <v>CARD</v>
      </c>
      <c r="K6" s="8" t="s">
        <v>34</v>
      </c>
      <c r="L6" s="8" t="str">
        <f>PROPER(TRIM(Sales_Raw!$M6))</f>
        <v>Suramangalam</v>
      </c>
      <c r="M6" s="8" t="s">
        <v>40</v>
      </c>
      <c r="N6" s="7" t="s">
        <v>41</v>
      </c>
      <c r="O6" s="8" t="s">
        <v>17</v>
      </c>
      <c r="P6" s="11" t="str">
        <f>VLOOKUP(Sales_Raw!$E6,ProductsMasterTable[#All],2,FALSE)</f>
        <v>Butter 100g</v>
      </c>
      <c r="Q6" s="11" t="str">
        <f>VLOOKUP(Sales_Raw!$E6,ProductsMasterTable[#All],3,FALSE)</f>
        <v>Dairy</v>
      </c>
      <c r="R6" s="11" t="str">
        <f>VLOOKUP(Sales_Raw!$E6,ProductsMasterTable[#All],4,FALSE)</f>
        <v>Cavin's</v>
      </c>
      <c r="S6" s="11">
        <f>VLOOKUP(Sales_Raw!$E6,ProductsMasterTable[#All],5,FALSE)</f>
        <v>342.47</v>
      </c>
      <c r="T6" s="11">
        <f>VLOOKUP(Sales_Raw!$E6,ProductsMasterTable[#All],6,FALSE)</f>
        <v>441.05</v>
      </c>
      <c r="U6" s="11" t="str">
        <f>VLOOKUP(Sales_Raw!$E6,ProductsMasterTable[#All],7,FALSE)</f>
        <v>Salem Wholesale Mart</v>
      </c>
      <c r="V6" s="11" t="str">
        <f>IFERROR(VLOOKUP(Sales_Raw!$D6,CustomersMasterTable[#All],2,FALSE),"Guest")</f>
        <v>Janani R</v>
      </c>
      <c r="W6" s="11" t="str">
        <f>IFERROR(VLOOKUP(Sales_Raw!$D6,CustomersMasterTable[#All],3,FALSE),"Guest")</f>
        <v>Male</v>
      </c>
      <c r="X6" s="11">
        <f>IFERROR(VLOOKUP(Sales_Raw!$D6,CustomersMasterTable[#All],4,FALSE),"Guest")</f>
        <v>43</v>
      </c>
      <c r="Y6" s="11" t="str">
        <f>IFERROR(VLOOKUP(Sales_Raw!$D6,CustomersMasterTable[#All],5,FALSE),"Guest")</f>
        <v>Salem</v>
      </c>
      <c r="Z6" s="11" t="str">
        <f>IFERROR(VLOOKUP(Sales_Raw!$D6,CustomersMasterTable[#All],6,FALSE),"Guest")</f>
        <v>Gold</v>
      </c>
      <c r="AA6" s="17">
        <f>IFERROR(VLOOKUP(Sales_Raw!$D6,CustomersMasterTable[#All],7,FALSE),"Guest")</f>
        <v>46241</v>
      </c>
      <c r="AB6" s="23">
        <f>Master_Data[[#This Row],[Qty]]*Master_Data[[#This Row],[Unit_Price]]</f>
        <v>1743.52</v>
      </c>
      <c r="AC6" s="23">
        <f>Master_Data[[#This Row],[Gross_ Sales]]*(1-Master_Data[[#This Row],[Discount Percentage]])</f>
        <v>1656.3439999999998</v>
      </c>
      <c r="AD6" s="23">
        <f>Master_Data[[#This Row],[Net_Sales]]-(Master_Data[[#This Row],[Qty]]*Master_Data[[#This Row],[Cost_Price]])</f>
        <v>286.46399999999971</v>
      </c>
    </row>
    <row r="7" spans="1:30" ht="15">
      <c r="A7" s="13" t="s">
        <v>42</v>
      </c>
      <c r="B7" s="28">
        <f>DATEVALUE(Master_Data[[#This Row],[Sale_Date]])</f>
        <v>46249</v>
      </c>
      <c r="C7" s="13" t="s">
        <v>43</v>
      </c>
      <c r="D7" s="13" t="s">
        <v>44</v>
      </c>
      <c r="E7" s="13" t="str">
        <f>UPPER(TRIM(Sales_Raw!$F7))</f>
        <v>P1008</v>
      </c>
      <c r="F7" s="13" t="s">
        <v>13</v>
      </c>
      <c r="G7" s="13">
        <v>3</v>
      </c>
      <c r="H7" s="14">
        <v>460.55</v>
      </c>
      <c r="I7" s="15">
        <v>0</v>
      </c>
      <c r="J7" s="13" t="str">
        <f>UPPER(TRIM(Sales_Raw!$K7))</f>
        <v>CASH</v>
      </c>
      <c r="K7" s="13" t="s">
        <v>14</v>
      </c>
      <c r="L7" s="13" t="str">
        <f>PROPER(TRIM(Sales_Raw!$M7))</f>
        <v>Hasthampatti</v>
      </c>
      <c r="M7" s="13" t="s">
        <v>23</v>
      </c>
      <c r="N7" s="12" t="s">
        <v>35</v>
      </c>
      <c r="O7" s="13" t="s">
        <v>17</v>
      </c>
      <c r="P7" s="16" t="str">
        <f>VLOOKUP(Sales_Raw!$E7,ProductsMasterTable[#All],2,FALSE)</f>
        <v>Curd 500g</v>
      </c>
      <c r="Q7" s="16" t="str">
        <f>VLOOKUP(Sales_Raw!$E7,ProductsMasterTable[#All],3,FALSE)</f>
        <v>Dairy</v>
      </c>
      <c r="R7" s="16" t="str">
        <f>VLOOKUP(Sales_Raw!$E7,ProductsMasterTable[#All],4,FALSE)</f>
        <v>Aavin</v>
      </c>
      <c r="S7" s="16">
        <f>VLOOKUP(Sales_Raw!$E7,ProductsMasterTable[#All],5,FALSE)</f>
        <v>402.8</v>
      </c>
      <c r="T7" s="16">
        <f>VLOOKUP(Sales_Raw!$E7,ProductsMasterTable[#All],6,FALSE)</f>
        <v>482.32</v>
      </c>
      <c r="U7" s="16" t="str">
        <f>VLOOKUP(Sales_Raw!$E7,ProductsMasterTable[#All],7,FALSE)</f>
        <v>FreshLine Traders</v>
      </c>
      <c r="V7" s="16" t="str">
        <f>IFERROR(VLOOKUP(Sales_Raw!$D7,CustomersMasterTable[#All],2,FALSE),"Guest")</f>
        <v>Anitha Shree</v>
      </c>
      <c r="W7" s="16" t="str">
        <f>IFERROR(VLOOKUP(Sales_Raw!$D7,CustomersMasterTable[#All],3,FALSE),"Guest")</f>
        <v>Male</v>
      </c>
      <c r="X7" s="16">
        <f>IFERROR(VLOOKUP(Sales_Raw!$D7,CustomersMasterTable[#All],4,FALSE),"Guest")</f>
        <v>63</v>
      </c>
      <c r="Y7" s="16" t="str">
        <f>IFERROR(VLOOKUP(Sales_Raw!$D7,CustomersMasterTable[#All],5,FALSE),"Guest")</f>
        <v>Namakkal</v>
      </c>
      <c r="Z7" s="16" t="str">
        <f>IFERROR(VLOOKUP(Sales_Raw!$D7,CustomersMasterTable[#All],6,FALSE),"Guest")</f>
        <v>Regular</v>
      </c>
      <c r="AA7" s="18">
        <f>IFERROR(VLOOKUP(Sales_Raw!$D7,CustomersMasterTable[#All],7,FALSE),"Guest")</f>
        <v>45928</v>
      </c>
      <c r="AB7" s="23">
        <f>Master_Data[[#This Row],[Qty]]*Master_Data[[#This Row],[Unit_Price]]</f>
        <v>1381.65</v>
      </c>
      <c r="AC7" s="23">
        <f>Master_Data[[#This Row],[Gross_ Sales]]*(1-Master_Data[[#This Row],[Discount Percentage]])</f>
        <v>1381.65</v>
      </c>
      <c r="AD7" s="23">
        <f>Master_Data[[#This Row],[Net_Sales]]-(Master_Data[[#This Row],[Qty]]*Master_Data[[#This Row],[Cost_Price]])</f>
        <v>173.25</v>
      </c>
    </row>
    <row r="8" spans="1:30" ht="15">
      <c r="A8" s="8" t="s">
        <v>45</v>
      </c>
      <c r="B8" s="27">
        <f>DATEVALUE(Master_Data[[#This Row],[Sale_Date]])</f>
        <v>46245</v>
      </c>
      <c r="C8" s="8" t="s">
        <v>46</v>
      </c>
      <c r="D8" s="8" t="s">
        <v>47</v>
      </c>
      <c r="E8" s="8" t="str">
        <f>UPPER(TRIM(Sales_Raw!$F8))</f>
        <v>P1015</v>
      </c>
      <c r="F8" s="8" t="s">
        <v>48</v>
      </c>
      <c r="G8" s="8">
        <v>2</v>
      </c>
      <c r="H8" s="9">
        <v>164.04</v>
      </c>
      <c r="I8" s="10">
        <v>0.1</v>
      </c>
      <c r="J8" s="8" t="str">
        <f>UPPER(TRIM(Sales_Raw!$K8))</f>
        <v>UPI</v>
      </c>
      <c r="K8" s="8" t="s">
        <v>22</v>
      </c>
      <c r="L8" s="8" t="str">
        <f>PROPER(TRIM(Sales_Raw!$M8))</f>
        <v>Hasthampatti</v>
      </c>
      <c r="M8" s="8" t="s">
        <v>23</v>
      </c>
      <c r="N8" s="7" t="s">
        <v>41</v>
      </c>
      <c r="O8" s="8" t="s">
        <v>30</v>
      </c>
      <c r="P8" s="11" t="str">
        <f>VLOOKUP(Sales_Raw!$E8,ProductsMasterTable[#All],2,FALSE)</f>
        <v>Biscuits Pack</v>
      </c>
      <c r="Q8" s="11" t="str">
        <f>VLOOKUP(Sales_Raw!$E8,ProductsMasterTable[#All],3,FALSE)</f>
        <v>Snacks</v>
      </c>
      <c r="R8" s="11" t="str">
        <f>VLOOKUP(Sales_Raw!$E8,ProductsMasterTable[#All],4,FALSE)</f>
        <v>HUL</v>
      </c>
      <c r="S8" s="11">
        <f>VLOOKUP(Sales_Raw!$E8,ProductsMasterTable[#All],5,FALSE)</f>
        <v>129.75</v>
      </c>
      <c r="T8" s="11">
        <f>VLOOKUP(Sales_Raw!$E8,ProductsMasterTable[#All],6,FALSE)</f>
        <v>164.29</v>
      </c>
      <c r="U8" s="11" t="str">
        <f>VLOOKUP(Sales_Raw!$E8,ProductsMasterTable[#All],7,FALSE)</f>
        <v>Kongu Distributors</v>
      </c>
      <c r="V8" s="11" t="str">
        <f>IFERROR(VLOOKUP(Sales_Raw!$D8,CustomersMasterTable[#All],2,FALSE),"Guest")</f>
        <v>Naveen S</v>
      </c>
      <c r="W8" s="11" t="str">
        <f>IFERROR(VLOOKUP(Sales_Raw!$D8,CustomersMasterTable[#All],3,FALSE),"Guest")</f>
        <v>Male</v>
      </c>
      <c r="X8" s="11">
        <f>IFERROR(VLOOKUP(Sales_Raw!$D8,CustomersMasterTable[#All],4,FALSE),"Guest")</f>
        <v>20</v>
      </c>
      <c r="Y8" s="11" t="str">
        <f>IFERROR(VLOOKUP(Sales_Raw!$D8,CustomersMasterTable[#All],5,FALSE),"Guest")</f>
        <v>Erode</v>
      </c>
      <c r="Z8" s="11" t="str">
        <f>IFERROR(VLOOKUP(Sales_Raw!$D8,CustomersMasterTable[#All],6,FALSE),"Guest")</f>
        <v>Gold</v>
      </c>
      <c r="AA8" s="17">
        <f>IFERROR(VLOOKUP(Sales_Raw!$D8,CustomersMasterTable[#All],7,FALSE),"Guest")</f>
        <v>45732</v>
      </c>
      <c r="AB8" s="23">
        <f>Master_Data[[#This Row],[Qty]]*Master_Data[[#This Row],[Unit_Price]]</f>
        <v>328.08</v>
      </c>
      <c r="AC8" s="23">
        <f>Master_Data[[#This Row],[Gross_ Sales]]*(1-Master_Data[[#This Row],[Discount Percentage]])</f>
        <v>295.27199999999999</v>
      </c>
      <c r="AD8" s="23">
        <f>Master_Data[[#This Row],[Net_Sales]]-(Master_Data[[#This Row],[Qty]]*Master_Data[[#This Row],[Cost_Price]])</f>
        <v>35.771999999999991</v>
      </c>
    </row>
    <row r="9" spans="1:30" ht="15">
      <c r="A9" s="13" t="s">
        <v>49</v>
      </c>
      <c r="B9" s="28">
        <f>DATEVALUE(Master_Data[[#This Row],[Sale_Date]])</f>
        <v>46271</v>
      </c>
      <c r="C9" s="13" t="s">
        <v>50</v>
      </c>
      <c r="D9" s="13" t="s">
        <v>51</v>
      </c>
      <c r="E9" s="13" t="str">
        <f>UPPER(TRIM(Sales_Raw!$F9))</f>
        <v>P1001</v>
      </c>
      <c r="F9" s="13" t="s">
        <v>52</v>
      </c>
      <c r="G9" s="13">
        <v>1</v>
      </c>
      <c r="H9" s="14">
        <v>300.79000000000002</v>
      </c>
      <c r="I9" s="15">
        <v>0</v>
      </c>
      <c r="J9" s="13" t="str">
        <f>UPPER(TRIM(Sales_Raw!$K9))</f>
        <v>CASH</v>
      </c>
      <c r="K9" s="13" t="s">
        <v>14</v>
      </c>
      <c r="L9" s="13" t="str">
        <f>PROPER(TRIM(Sales_Raw!$M9))</f>
        <v>Fairlands</v>
      </c>
      <c r="M9" s="13" t="s">
        <v>15</v>
      </c>
      <c r="N9" s="12" t="s">
        <v>53</v>
      </c>
      <c r="O9" s="13" t="s">
        <v>54</v>
      </c>
      <c r="P9" s="16" t="str">
        <f>VLOOKUP(Sales_Raw!$E9,ProductsMasterTable[#All],2,FALSE)</f>
        <v>Rice 5kg</v>
      </c>
      <c r="Q9" s="16" t="str">
        <f>VLOOKUP(Sales_Raw!$E9,ProductsMasterTable[#All],3,FALSE)</f>
        <v>Staples</v>
      </c>
      <c r="R9" s="16" t="str">
        <f>VLOOKUP(Sales_Raw!$E9,ProductsMasterTable[#All],4,FALSE)</f>
        <v>Nestle</v>
      </c>
      <c r="S9" s="16">
        <f>VLOOKUP(Sales_Raw!$E9,ProductsMasterTable[#All],5,FALSE)</f>
        <v>275.05</v>
      </c>
      <c r="T9" s="16">
        <f>VLOOKUP(Sales_Raw!$E9,ProductsMasterTable[#All],6,FALSE)</f>
        <v>309.64</v>
      </c>
      <c r="U9" s="16" t="str">
        <f>VLOOKUP(Sales_Raw!$E9,ProductsMasterTable[#All],7,FALSE)</f>
        <v>Kongu Distributors</v>
      </c>
      <c r="V9" s="16" t="str">
        <f>IFERROR(VLOOKUP(Sales_Raw!$D9,CustomersMasterTable[#All],2,FALSE),"Guest")</f>
        <v>Harish Raj</v>
      </c>
      <c r="W9" s="16" t="str">
        <f>IFERROR(VLOOKUP(Sales_Raw!$D9,CustomersMasterTable[#All],3,FALSE),"Guest")</f>
        <v>Male</v>
      </c>
      <c r="X9" s="16">
        <f>IFERROR(VLOOKUP(Sales_Raw!$D9,CustomersMasterTable[#All],4,FALSE),"Guest")</f>
        <v>67</v>
      </c>
      <c r="Y9" s="16" t="str">
        <f>IFERROR(VLOOKUP(Sales_Raw!$D9,CustomersMasterTable[#All],5,FALSE),"Guest")</f>
        <v>Namakkal</v>
      </c>
      <c r="Z9" s="16" t="str">
        <f>IFERROR(VLOOKUP(Sales_Raw!$D9,CustomersMasterTable[#All],6,FALSE),"Guest")</f>
        <v>Regular</v>
      </c>
      <c r="AA9" s="18">
        <f>IFERROR(VLOOKUP(Sales_Raw!$D9,CustomersMasterTable[#All],7,FALSE),"Guest")</f>
        <v>46179</v>
      </c>
      <c r="AB9" s="23">
        <f>Master_Data[[#This Row],[Qty]]*Master_Data[[#This Row],[Unit_Price]]</f>
        <v>300.79000000000002</v>
      </c>
      <c r="AC9" s="23">
        <f>Master_Data[[#This Row],[Gross_ Sales]]*(1-Master_Data[[#This Row],[Discount Percentage]])</f>
        <v>300.79000000000002</v>
      </c>
      <c r="AD9" s="23">
        <f>Master_Data[[#This Row],[Net_Sales]]-(Master_Data[[#This Row],[Qty]]*Master_Data[[#This Row],[Cost_Price]])</f>
        <v>25.740000000000009</v>
      </c>
    </row>
    <row r="10" spans="1:30" ht="15">
      <c r="A10" s="8" t="s">
        <v>55</v>
      </c>
      <c r="B10" s="27">
        <f>DATEVALUE(Master_Data[[#This Row],[Sale_Date]])</f>
        <v>46251</v>
      </c>
      <c r="C10" s="8" t="s">
        <v>56</v>
      </c>
      <c r="D10" s="8" t="s">
        <v>33</v>
      </c>
      <c r="E10" s="8" t="str">
        <f>UPPER(TRIM(Sales_Raw!$F10))</f>
        <v>P1011</v>
      </c>
      <c r="F10" s="8" t="s">
        <v>57</v>
      </c>
      <c r="G10" s="8">
        <v>2</v>
      </c>
      <c r="H10" s="9">
        <v>472.37</v>
      </c>
      <c r="I10" s="10">
        <v>0</v>
      </c>
      <c r="J10" s="8" t="str">
        <f>UPPER(TRIM(Sales_Raw!$K10))</f>
        <v>CASH</v>
      </c>
      <c r="K10" s="8" t="s">
        <v>14</v>
      </c>
      <c r="L10" s="8" t="str">
        <f>PROPER(TRIM(Sales_Raw!$M10))</f>
        <v>Hasthampatti</v>
      </c>
      <c r="M10" s="8" t="s">
        <v>23</v>
      </c>
      <c r="N10" s="7" t="s">
        <v>35</v>
      </c>
      <c r="O10" s="8" t="s">
        <v>17</v>
      </c>
      <c r="P10" s="11" t="str">
        <f>VLOOKUP(Sales_Raw!$E10,ProductsMasterTable[#All],2,FALSE)</f>
        <v>Cheese Slices</v>
      </c>
      <c r="Q10" s="11" t="str">
        <f>VLOOKUP(Sales_Raw!$E10,ProductsMasterTable[#All],3,FALSE)</f>
        <v>Dairy</v>
      </c>
      <c r="R10" s="11" t="str">
        <f>VLOOKUP(Sales_Raw!$E10,ProductsMasterTable[#All],4,FALSE)</f>
        <v>Cavin's</v>
      </c>
      <c r="S10" s="11">
        <f>VLOOKUP(Sales_Raw!$E10,ProductsMasterTable[#All],5,FALSE)</f>
        <v>409.19</v>
      </c>
      <c r="T10" s="11">
        <f>VLOOKUP(Sales_Raw!$E10,ProductsMasterTable[#All],6,FALSE)</f>
        <v>493.92</v>
      </c>
      <c r="U10" s="11" t="str">
        <f>VLOOKUP(Sales_Raw!$E10,ProductsMasterTable[#All],7,FALSE)</f>
        <v>Metro Supply Co</v>
      </c>
      <c r="V10" s="11" t="str">
        <f>IFERROR(VLOOKUP(Sales_Raw!$D10,CustomersMasterTable[#All],2,FALSE),"Guest")</f>
        <v>Surya Priyan</v>
      </c>
      <c r="W10" s="11" t="str">
        <f>IFERROR(VLOOKUP(Sales_Raw!$D10,CustomersMasterTable[#All],3,FALSE),"Guest")</f>
        <v>Female</v>
      </c>
      <c r="X10" s="11">
        <f>IFERROR(VLOOKUP(Sales_Raw!$D10,CustomersMasterTable[#All],4,FALSE),"Guest")</f>
        <v>34</v>
      </c>
      <c r="Y10" s="11" t="str">
        <f>IFERROR(VLOOKUP(Sales_Raw!$D10,CustomersMasterTable[#All],5,FALSE),"Guest")</f>
        <v>Erode</v>
      </c>
      <c r="Z10" s="11" t="str">
        <f>IFERROR(VLOOKUP(Sales_Raw!$D10,CustomersMasterTable[#All],6,FALSE),"Guest")</f>
        <v>Silver</v>
      </c>
      <c r="AA10" s="17">
        <f>IFERROR(VLOOKUP(Sales_Raw!$D10,CustomersMasterTable[#All],7,FALSE),"Guest")</f>
        <v>45979</v>
      </c>
      <c r="AB10" s="23">
        <f>Master_Data[[#This Row],[Qty]]*Master_Data[[#This Row],[Unit_Price]]</f>
        <v>944.74</v>
      </c>
      <c r="AC10" s="23">
        <f>Master_Data[[#This Row],[Gross_ Sales]]*(1-Master_Data[[#This Row],[Discount Percentage]])</f>
        <v>944.74</v>
      </c>
      <c r="AD10" s="23">
        <f>Master_Data[[#This Row],[Net_Sales]]-(Master_Data[[#This Row],[Qty]]*Master_Data[[#This Row],[Cost_Price]])</f>
        <v>126.36000000000001</v>
      </c>
    </row>
    <row r="11" spans="1:30" ht="15">
      <c r="A11" s="13" t="s">
        <v>58</v>
      </c>
      <c r="B11" s="28">
        <f>DATEVALUE(Master_Data[[#This Row],[Sale_Date]])</f>
        <v>46251</v>
      </c>
      <c r="C11" s="13" t="s">
        <v>56</v>
      </c>
      <c r="D11" s="13" t="s">
        <v>47</v>
      </c>
      <c r="E11" s="13" t="str">
        <f>UPPER(TRIM(Sales_Raw!$F11))</f>
        <v>P1003</v>
      </c>
      <c r="F11" s="13" t="s">
        <v>59</v>
      </c>
      <c r="G11" s="13">
        <v>4</v>
      </c>
      <c r="H11" s="14">
        <v>265.31</v>
      </c>
      <c r="I11" s="15">
        <v>0.1</v>
      </c>
      <c r="J11" s="13" t="str">
        <f>UPPER(TRIM(Sales_Raw!$K11))</f>
        <v>UPI</v>
      </c>
      <c r="K11" s="13" t="s">
        <v>22</v>
      </c>
      <c r="L11" s="13" t="str">
        <f>PROPER(TRIM(Sales_Raw!$M11))</f>
        <v>Hasthampatti</v>
      </c>
      <c r="M11" s="13" t="s">
        <v>23</v>
      </c>
      <c r="N11" s="12" t="s">
        <v>24</v>
      </c>
      <c r="O11" s="13" t="s">
        <v>54</v>
      </c>
      <c r="P11" s="16" t="str">
        <f>VLOOKUP(Sales_Raw!$E11,ProductsMasterTable[#All],2,FALSE)</f>
        <v>Toor Dal 1kg</v>
      </c>
      <c r="Q11" s="16" t="str">
        <f>VLOOKUP(Sales_Raw!$E11,ProductsMasterTable[#All],3,FALSE)</f>
        <v>Staples</v>
      </c>
      <c r="R11" s="16" t="str">
        <f>VLOOKUP(Sales_Raw!$E11,ProductsMasterTable[#All],4,FALSE)</f>
        <v>Aavin</v>
      </c>
      <c r="S11" s="16">
        <f>VLOOKUP(Sales_Raw!$E11,ProductsMasterTable[#All],5,FALSE)</f>
        <v>255.38</v>
      </c>
      <c r="T11" s="16">
        <f>VLOOKUP(Sales_Raw!$E11,ProductsMasterTable[#All],6,FALSE)</f>
        <v>287.89</v>
      </c>
      <c r="U11" s="16" t="str">
        <f>VLOOKUP(Sales_Raw!$E11,ProductsMasterTable[#All],7,FALSE)</f>
        <v>Kongu Distributors</v>
      </c>
      <c r="V11" s="16" t="str">
        <f>IFERROR(VLOOKUP(Sales_Raw!$D11,CustomersMasterTable[#All],2,FALSE),"Guest")</f>
        <v>Naveen S</v>
      </c>
      <c r="W11" s="16" t="str">
        <f>IFERROR(VLOOKUP(Sales_Raw!$D11,CustomersMasterTable[#All],3,FALSE),"Guest")</f>
        <v>Male</v>
      </c>
      <c r="X11" s="16">
        <f>IFERROR(VLOOKUP(Sales_Raw!$D11,CustomersMasterTable[#All],4,FALSE),"Guest")</f>
        <v>20</v>
      </c>
      <c r="Y11" s="16" t="str">
        <f>IFERROR(VLOOKUP(Sales_Raw!$D11,CustomersMasterTable[#All],5,FALSE),"Guest")</f>
        <v>Erode</v>
      </c>
      <c r="Z11" s="16" t="str">
        <f>IFERROR(VLOOKUP(Sales_Raw!$D11,CustomersMasterTable[#All],6,FALSE),"Guest")</f>
        <v>Gold</v>
      </c>
      <c r="AA11" s="18">
        <f>IFERROR(VLOOKUP(Sales_Raw!$D11,CustomersMasterTable[#All],7,FALSE),"Guest")</f>
        <v>45732</v>
      </c>
      <c r="AB11" s="23">
        <f>Master_Data[[#This Row],[Qty]]*Master_Data[[#This Row],[Unit_Price]]</f>
        <v>1061.24</v>
      </c>
      <c r="AC11" s="23">
        <f>Master_Data[[#This Row],[Gross_ Sales]]*(1-Master_Data[[#This Row],[Discount Percentage]])</f>
        <v>955.11599999999999</v>
      </c>
      <c r="AD11" s="23">
        <f>Master_Data[[#This Row],[Net_Sales]]-(Master_Data[[#This Row],[Qty]]*Master_Data[[#This Row],[Cost_Price]])</f>
        <v>-66.403999999999996</v>
      </c>
    </row>
    <row r="12" spans="1:30" ht="15">
      <c r="A12" s="8" t="s">
        <v>60</v>
      </c>
      <c r="B12" s="27">
        <f>DATEVALUE(Master_Data[[#This Row],[Sale_Date]])</f>
        <v>46239</v>
      </c>
      <c r="C12" s="8" t="s">
        <v>61</v>
      </c>
      <c r="D12" s="8" t="s">
        <v>62</v>
      </c>
      <c r="E12" s="8" t="str">
        <f>UPPER(TRIM(Sales_Raw!$F12))</f>
        <v>P1021</v>
      </c>
      <c r="F12" s="8" t="s">
        <v>63</v>
      </c>
      <c r="G12" s="8">
        <v>1</v>
      </c>
      <c r="H12" s="9">
        <v>58.16</v>
      </c>
      <c r="I12" s="10">
        <v>0</v>
      </c>
      <c r="J12" s="8" t="str">
        <f>UPPER(TRIM(Sales_Raw!$K12))</f>
        <v>UPI</v>
      </c>
      <c r="K12" s="8" t="s">
        <v>64</v>
      </c>
      <c r="L12" s="8" t="str">
        <f>PROPER(TRIM(Sales_Raw!$M12))</f>
        <v>Fairlands</v>
      </c>
      <c r="M12" s="8" t="s">
        <v>15</v>
      </c>
      <c r="N12" s="7" t="s">
        <v>41</v>
      </c>
      <c r="O12" s="8" t="s">
        <v>65</v>
      </c>
      <c r="P12" s="11" t="str">
        <f>VLOOKUP(Sales_Raw!$E12,ProductsMasterTable[#All],2,FALSE)</f>
        <v>Coffee 200g</v>
      </c>
      <c r="Q12" s="11" t="str">
        <f>VLOOKUP(Sales_Raw!$E12,ProductsMasterTable[#All],3,FALSE)</f>
        <v>Beverages</v>
      </c>
      <c r="R12" s="11" t="str">
        <f>VLOOKUP(Sales_Raw!$E12,ProductsMasterTable[#All],4,FALSE)</f>
        <v>Surf</v>
      </c>
      <c r="S12" s="11">
        <f>VLOOKUP(Sales_Raw!$E12,ProductsMasterTable[#All],5,FALSE)</f>
        <v>44.61</v>
      </c>
      <c r="T12" s="11">
        <f>VLOOKUP(Sales_Raw!$E12,ProductsMasterTable[#All],6,FALSE)</f>
        <v>59.33</v>
      </c>
      <c r="U12" s="11" t="str">
        <f>VLOOKUP(Sales_Raw!$E12,ProductsMasterTable[#All],7,FALSE)</f>
        <v>Metro Supply Co</v>
      </c>
      <c r="V12" s="11" t="str">
        <f>IFERROR(VLOOKUP(Sales_Raw!$D12,CustomersMasterTable[#All],2,FALSE),"Guest")</f>
        <v>Divya Shree</v>
      </c>
      <c r="W12" s="11" t="str">
        <f>IFERROR(VLOOKUP(Sales_Raw!$D12,CustomersMasterTable[#All],3,FALSE),"Guest")</f>
        <v>Female</v>
      </c>
      <c r="X12" s="11">
        <f>IFERROR(VLOOKUP(Sales_Raw!$D12,CustomersMasterTable[#All],4,FALSE),"Guest")</f>
        <v>43</v>
      </c>
      <c r="Y12" s="11" t="str">
        <f>IFERROR(VLOOKUP(Sales_Raw!$D12,CustomersMasterTable[#All],5,FALSE),"Guest")</f>
        <v>Dharmapuri</v>
      </c>
      <c r="Z12" s="11" t="str">
        <f>IFERROR(VLOOKUP(Sales_Raw!$D12,CustomersMasterTable[#All],6,FALSE),"Guest")</f>
        <v>Silver</v>
      </c>
      <c r="AA12" s="17">
        <f>IFERROR(VLOOKUP(Sales_Raw!$D12,CustomersMasterTable[#All],7,FALSE),"Guest")</f>
        <v>45969</v>
      </c>
      <c r="AB12" s="23">
        <f>Master_Data[[#This Row],[Qty]]*Master_Data[[#This Row],[Unit_Price]]</f>
        <v>58.16</v>
      </c>
      <c r="AC12" s="23">
        <f>Master_Data[[#This Row],[Gross_ Sales]]*(1-Master_Data[[#This Row],[Discount Percentage]])</f>
        <v>58.16</v>
      </c>
      <c r="AD12" s="23">
        <f>Master_Data[[#This Row],[Net_Sales]]-(Master_Data[[#This Row],[Qty]]*Master_Data[[#This Row],[Cost_Price]])</f>
        <v>13.549999999999997</v>
      </c>
    </row>
    <row r="13" spans="1:30" ht="15">
      <c r="A13" s="13" t="s">
        <v>66</v>
      </c>
      <c r="B13" s="28">
        <f>DATEVALUE(Master_Data[[#This Row],[Sale_Date]])</f>
        <v>46244</v>
      </c>
      <c r="C13" s="13" t="s">
        <v>67</v>
      </c>
      <c r="D13" s="13" t="s">
        <v>68</v>
      </c>
      <c r="E13" s="13" t="str">
        <f>UPPER(TRIM(Sales_Raw!$F13))</f>
        <v>P1005</v>
      </c>
      <c r="F13" s="13" t="s">
        <v>69</v>
      </c>
      <c r="G13" s="13">
        <v>4</v>
      </c>
      <c r="H13" s="14">
        <v>381.51</v>
      </c>
      <c r="I13" s="15">
        <v>0.1</v>
      </c>
      <c r="J13" s="13" t="str">
        <f>UPPER(TRIM(Sales_Raw!$K13))</f>
        <v>UPI</v>
      </c>
      <c r="K13" s="13" t="s">
        <v>22</v>
      </c>
      <c r="L13" s="13" t="str">
        <f>PROPER(TRIM(Sales_Raw!$M13))</f>
        <v>Hasthampatti</v>
      </c>
      <c r="M13" s="13" t="s">
        <v>23</v>
      </c>
      <c r="N13" s="12" t="s">
        <v>16</v>
      </c>
      <c r="O13" s="13" t="s">
        <v>54</v>
      </c>
      <c r="P13" s="16" t="str">
        <f>VLOOKUP(Sales_Raw!$E13,ProductsMasterTable[#All],2,FALSE)</f>
        <v>Sugar 1kg</v>
      </c>
      <c r="Q13" s="16" t="str">
        <f>VLOOKUP(Sales_Raw!$E13,ProductsMasterTable[#All],3,FALSE)</f>
        <v>Staples</v>
      </c>
      <c r="R13" s="16" t="str">
        <f>VLOOKUP(Sales_Raw!$E13,ProductsMasterTable[#All],4,FALSE)</f>
        <v>ITC</v>
      </c>
      <c r="S13" s="16">
        <f>VLOOKUP(Sales_Raw!$E13,ProductsMasterTable[#All],5,FALSE)</f>
        <v>305.83999999999997</v>
      </c>
      <c r="T13" s="16">
        <f>VLOOKUP(Sales_Raw!$E13,ProductsMasterTable[#All],6,FALSE)</f>
        <v>391.87</v>
      </c>
      <c r="U13" s="16" t="str">
        <f>VLOOKUP(Sales_Raw!$E13,ProductsMasterTable[#All],7,FALSE)</f>
        <v>Kongu Distributors</v>
      </c>
      <c r="V13" s="16" t="str">
        <f>IFERROR(VLOOKUP(Sales_Raw!$D13,CustomersMasterTable[#All],2,FALSE),"Guest")</f>
        <v>Sanjay Babu</v>
      </c>
      <c r="W13" s="16" t="str">
        <f>IFERROR(VLOOKUP(Sales_Raw!$D13,CustomersMasterTable[#All],3,FALSE),"Guest")</f>
        <v>Male</v>
      </c>
      <c r="X13" s="16">
        <f>IFERROR(VLOOKUP(Sales_Raw!$D13,CustomersMasterTable[#All],4,FALSE),"Guest")</f>
        <v>22</v>
      </c>
      <c r="Y13" s="16" t="str">
        <f>IFERROR(VLOOKUP(Sales_Raw!$D13,CustomersMasterTable[#All],5,FALSE),"Guest")</f>
        <v>Coimbatore</v>
      </c>
      <c r="Z13" s="16" t="str">
        <f>IFERROR(VLOOKUP(Sales_Raw!$D13,CustomersMasterTable[#All],6,FALSE),"Guest")</f>
        <v>Silver</v>
      </c>
      <c r="AA13" s="18">
        <f>IFERROR(VLOOKUP(Sales_Raw!$D13,CustomersMasterTable[#All],7,FALSE),"Guest")</f>
        <v>46221</v>
      </c>
      <c r="AB13" s="23">
        <f>Master_Data[[#This Row],[Qty]]*Master_Data[[#This Row],[Unit_Price]]</f>
        <v>1526.04</v>
      </c>
      <c r="AC13" s="23">
        <f>Master_Data[[#This Row],[Gross_ Sales]]*(1-Master_Data[[#This Row],[Discount Percentage]])</f>
        <v>1373.4359999999999</v>
      </c>
      <c r="AD13" s="23">
        <f>Master_Data[[#This Row],[Net_Sales]]-(Master_Data[[#This Row],[Qty]]*Master_Data[[#This Row],[Cost_Price]])</f>
        <v>150.07600000000002</v>
      </c>
    </row>
    <row r="14" spans="1:30" ht="15">
      <c r="A14" s="8" t="s">
        <v>70</v>
      </c>
      <c r="B14" s="27">
        <f>DATEVALUE(Master_Data[[#This Row],[Sale_Date]])</f>
        <v>46258</v>
      </c>
      <c r="C14" s="8" t="s">
        <v>71</v>
      </c>
      <c r="D14" s="8" t="s">
        <v>72</v>
      </c>
      <c r="E14" s="8" t="str">
        <f>UPPER(TRIM(Sales_Raw!$F14))</f>
        <v>P1020</v>
      </c>
      <c r="F14" s="8" t="s">
        <v>73</v>
      </c>
      <c r="G14" s="8">
        <v>5</v>
      </c>
      <c r="H14" s="9">
        <v>453.35</v>
      </c>
      <c r="I14" s="10">
        <v>0.15</v>
      </c>
      <c r="J14" s="8" t="str">
        <f>UPPER(TRIM(Sales_Raw!$K14))</f>
        <v>UPI</v>
      </c>
      <c r="K14" s="8" t="s">
        <v>22</v>
      </c>
      <c r="L14" s="8" t="str">
        <f>PROPER(TRIM(Sales_Raw!$M14))</f>
        <v>Fairlands</v>
      </c>
      <c r="M14" s="8" t="s">
        <v>15</v>
      </c>
      <c r="N14" s="7" t="s">
        <v>16</v>
      </c>
      <c r="O14" s="8" t="s">
        <v>65</v>
      </c>
      <c r="P14" s="11" t="str">
        <f>VLOOKUP(Sales_Raw!$E14,ProductsMasterTable[#All],2,FALSE)</f>
        <v>Tea 250g</v>
      </c>
      <c r="Q14" s="11" t="str">
        <f>VLOOKUP(Sales_Raw!$E14,ProductsMasterTable[#All],3,FALSE)</f>
        <v>Beverages</v>
      </c>
      <c r="R14" s="11" t="str">
        <f>VLOOKUP(Sales_Raw!$E14,ProductsMasterTable[#All],4,FALSE)</f>
        <v>ITC</v>
      </c>
      <c r="S14" s="11">
        <f>VLOOKUP(Sales_Raw!$E14,ProductsMasterTable[#All],5,FALSE)</f>
        <v>348.36</v>
      </c>
      <c r="T14" s="11">
        <f>VLOOKUP(Sales_Raw!$E14,ProductsMasterTable[#All],6,FALSE)</f>
        <v>454.67</v>
      </c>
      <c r="U14" s="11" t="str">
        <f>VLOOKUP(Sales_Raw!$E14,ProductsMasterTable[#All],7,FALSE)</f>
        <v>Metro Supply Co</v>
      </c>
      <c r="V14" s="11" t="str">
        <f>IFERROR(VLOOKUP(Sales_Raw!$D14,CustomersMasterTable[#All],2,FALSE),"Guest")</f>
        <v>Meena Priyan</v>
      </c>
      <c r="W14" s="11" t="str">
        <f>IFERROR(VLOOKUP(Sales_Raw!$D14,CustomersMasterTable[#All],3,FALSE),"Guest")</f>
        <v>Male</v>
      </c>
      <c r="X14" s="11">
        <f>IFERROR(VLOOKUP(Sales_Raw!$D14,CustomersMasterTable[#All],4,FALSE),"Guest")</f>
        <v>35</v>
      </c>
      <c r="Y14" s="11" t="str">
        <f>IFERROR(VLOOKUP(Sales_Raw!$D14,CustomersMasterTable[#All],5,FALSE),"Guest")</f>
        <v>Karur</v>
      </c>
      <c r="Z14" s="11" t="str">
        <f>IFERROR(VLOOKUP(Sales_Raw!$D14,CustomersMasterTable[#All],6,FALSE),"Guest")</f>
        <v>Regular</v>
      </c>
      <c r="AA14" s="17">
        <f>IFERROR(VLOOKUP(Sales_Raw!$D14,CustomersMasterTable[#All],7,FALSE),"Guest")</f>
        <v>46210</v>
      </c>
      <c r="AB14" s="23">
        <f>Master_Data[[#This Row],[Qty]]*Master_Data[[#This Row],[Unit_Price]]</f>
        <v>2266.75</v>
      </c>
      <c r="AC14" s="23">
        <f>Master_Data[[#This Row],[Gross_ Sales]]*(1-Master_Data[[#This Row],[Discount Percentage]])</f>
        <v>1926.7375</v>
      </c>
      <c r="AD14" s="23">
        <f>Master_Data[[#This Row],[Net_Sales]]-(Master_Data[[#This Row],[Qty]]*Master_Data[[#This Row],[Cost_Price]])</f>
        <v>184.93749999999977</v>
      </c>
    </row>
    <row r="15" spans="1:30" ht="29.25">
      <c r="A15" s="13" t="s">
        <v>74</v>
      </c>
      <c r="B15" s="28">
        <f>DATEVALUE(Master_Data[[#This Row],[Sale_Date]])</f>
        <v>46241</v>
      </c>
      <c r="C15" s="13" t="s">
        <v>75</v>
      </c>
      <c r="D15" s="13" t="s">
        <v>76</v>
      </c>
      <c r="E15" s="13" t="str">
        <f>UPPER(TRIM(Sales_Raw!$F15))</f>
        <v>P1001</v>
      </c>
      <c r="F15" s="13" t="s">
        <v>52</v>
      </c>
      <c r="G15" s="13">
        <v>3</v>
      </c>
      <c r="H15" s="14">
        <v>299.13</v>
      </c>
      <c r="I15" s="15">
        <v>0.05</v>
      </c>
      <c r="J15" s="13" t="str">
        <f>UPPER(TRIM(Sales_Raw!$K15))</f>
        <v>CASH</v>
      </c>
      <c r="K15" s="13" t="s">
        <v>14</v>
      </c>
      <c r="L15" s="13" t="str">
        <f>PROPER(TRIM(Sales_Raw!$M15))</f>
        <v>Suramangalam</v>
      </c>
      <c r="M15" s="13" t="s">
        <v>40</v>
      </c>
      <c r="N15" s="12" t="s">
        <v>24</v>
      </c>
      <c r="O15" s="13" t="s">
        <v>54</v>
      </c>
      <c r="P15" s="16" t="str">
        <f>VLOOKUP(Sales_Raw!$E15,ProductsMasterTable[#All],2,FALSE)</f>
        <v>Rice 5kg</v>
      </c>
      <c r="Q15" s="16" t="str">
        <f>VLOOKUP(Sales_Raw!$E15,ProductsMasterTable[#All],3,FALSE)</f>
        <v>Staples</v>
      </c>
      <c r="R15" s="16" t="str">
        <f>VLOOKUP(Sales_Raw!$E15,ProductsMasterTable[#All],4,FALSE)</f>
        <v>Nestle</v>
      </c>
      <c r="S15" s="16">
        <f>VLOOKUP(Sales_Raw!$E15,ProductsMasterTable[#All],5,FALSE)</f>
        <v>275.05</v>
      </c>
      <c r="T15" s="16">
        <f>VLOOKUP(Sales_Raw!$E15,ProductsMasterTable[#All],6,FALSE)</f>
        <v>309.64</v>
      </c>
      <c r="U15" s="16" t="str">
        <f>VLOOKUP(Sales_Raw!$E15,ProductsMasterTable[#All],7,FALSE)</f>
        <v>Kongu Distributors</v>
      </c>
      <c r="V15" s="16" t="str">
        <f>IFERROR(VLOOKUP(Sales_Raw!$D15,CustomersMasterTable[#All],2,FALSE),"Guest")</f>
        <v>Keerthi R</v>
      </c>
      <c r="W15" s="16" t="str">
        <f>IFERROR(VLOOKUP(Sales_Raw!$D15,CustomersMasterTable[#All],3,FALSE),"Guest")</f>
        <v>Female</v>
      </c>
      <c r="X15" s="16">
        <f>IFERROR(VLOOKUP(Sales_Raw!$D15,CustomersMasterTable[#All],4,FALSE),"Guest")</f>
        <v>67</v>
      </c>
      <c r="Y15" s="16" t="str">
        <f>IFERROR(VLOOKUP(Sales_Raw!$D15,CustomersMasterTable[#All],5,FALSE),"Guest")</f>
        <v>Dharmapuri</v>
      </c>
      <c r="Z15" s="16" t="str">
        <f>IFERROR(VLOOKUP(Sales_Raw!$D15,CustomersMasterTable[#All],6,FALSE),"Guest")</f>
        <v>Gold</v>
      </c>
      <c r="AA15" s="18">
        <f>IFERROR(VLOOKUP(Sales_Raw!$D15,CustomersMasterTable[#All],7,FALSE),"Guest")</f>
        <v>46074</v>
      </c>
      <c r="AB15" s="23">
        <f>Master_Data[[#This Row],[Qty]]*Master_Data[[#This Row],[Unit_Price]]</f>
        <v>897.39</v>
      </c>
      <c r="AC15" s="23">
        <f>Master_Data[[#This Row],[Gross_ Sales]]*(1-Master_Data[[#This Row],[Discount Percentage]])</f>
        <v>852.52049999999997</v>
      </c>
      <c r="AD15" s="23">
        <f>Master_Data[[#This Row],[Net_Sales]]-(Master_Data[[#This Row],[Qty]]*Master_Data[[#This Row],[Cost_Price]])</f>
        <v>27.370499999999879</v>
      </c>
    </row>
    <row r="16" spans="1:30" ht="29.25">
      <c r="A16" s="8" t="s">
        <v>77</v>
      </c>
      <c r="B16" s="27">
        <f>DATEVALUE(Master_Data[[#This Row],[Sale_Date]])</f>
        <v>46239</v>
      </c>
      <c r="C16" s="8" t="s">
        <v>61</v>
      </c>
      <c r="D16" s="8" t="s">
        <v>76</v>
      </c>
      <c r="E16" s="8" t="str">
        <f>UPPER(TRIM(Sales_Raw!$F16))</f>
        <v>P1023</v>
      </c>
      <c r="F16" s="8" t="s">
        <v>78</v>
      </c>
      <c r="G16" s="8">
        <v>6</v>
      </c>
      <c r="H16" s="9">
        <v>137.61000000000001</v>
      </c>
      <c r="I16" s="10">
        <v>0.15</v>
      </c>
      <c r="J16" s="8" t="str">
        <f>UPPER(TRIM(Sales_Raw!$K16))</f>
        <v>CASH</v>
      </c>
      <c r="K16" s="8" t="s">
        <v>79</v>
      </c>
      <c r="L16" s="8" t="str">
        <f>PROPER(TRIM(Sales_Raw!$M16))</f>
        <v>Suramangalam</v>
      </c>
      <c r="M16" s="8" t="s">
        <v>40</v>
      </c>
      <c r="N16" s="7" t="s">
        <v>41</v>
      </c>
      <c r="O16" s="8" t="s">
        <v>80</v>
      </c>
      <c r="P16" s="11" t="str">
        <f>VLOOKUP(Sales_Raw!$E16,ProductsMasterTable[#All],2,FALSE)</f>
        <v>Shampoo 180ml</v>
      </c>
      <c r="Q16" s="11" t="str">
        <f>VLOOKUP(Sales_Raw!$E16,ProductsMasterTable[#All],3,FALSE)</f>
        <v>Personal Care</v>
      </c>
      <c r="R16" s="11" t="str">
        <f>VLOOKUP(Sales_Raw!$E16,ProductsMasterTable[#All],4,FALSE)</f>
        <v>Cavin's</v>
      </c>
      <c r="S16" s="11">
        <f>VLOOKUP(Sales_Raw!$E16,ProductsMasterTable[#All],5,FALSE)</f>
        <v>124.48</v>
      </c>
      <c r="T16" s="11">
        <f>VLOOKUP(Sales_Raw!$E16,ProductsMasterTable[#All],6,FALSE)</f>
        <v>146.47999999999999</v>
      </c>
      <c r="U16" s="11" t="str">
        <f>VLOOKUP(Sales_Raw!$E16,ProductsMasterTable[#All],7,FALSE)</f>
        <v>Sri Ganesh Agencies</v>
      </c>
      <c r="V16" s="11" t="str">
        <f>IFERROR(VLOOKUP(Sales_Raw!$D16,CustomersMasterTable[#All],2,FALSE),"Guest")</f>
        <v>Keerthi R</v>
      </c>
      <c r="W16" s="11" t="str">
        <f>IFERROR(VLOOKUP(Sales_Raw!$D16,CustomersMasterTable[#All],3,FALSE),"Guest")</f>
        <v>Female</v>
      </c>
      <c r="X16" s="11">
        <f>IFERROR(VLOOKUP(Sales_Raw!$D16,CustomersMasterTable[#All],4,FALSE),"Guest")</f>
        <v>67</v>
      </c>
      <c r="Y16" s="11" t="str">
        <f>IFERROR(VLOOKUP(Sales_Raw!$D16,CustomersMasterTable[#All],5,FALSE),"Guest")</f>
        <v>Dharmapuri</v>
      </c>
      <c r="Z16" s="11" t="str">
        <f>IFERROR(VLOOKUP(Sales_Raw!$D16,CustomersMasterTable[#All],6,FALSE),"Guest")</f>
        <v>Gold</v>
      </c>
      <c r="AA16" s="17">
        <f>IFERROR(VLOOKUP(Sales_Raw!$D16,CustomersMasterTable[#All],7,FALSE),"Guest")</f>
        <v>46074</v>
      </c>
      <c r="AB16" s="23">
        <f>Master_Data[[#This Row],[Qty]]*Master_Data[[#This Row],[Unit_Price]]</f>
        <v>825.66000000000008</v>
      </c>
      <c r="AC16" s="23">
        <f>Master_Data[[#This Row],[Gross_ Sales]]*(1-Master_Data[[#This Row],[Discount Percentage]])</f>
        <v>701.81100000000004</v>
      </c>
      <c r="AD16" s="23">
        <f>Master_Data[[#This Row],[Net_Sales]]-(Master_Data[[#This Row],[Qty]]*Master_Data[[#This Row],[Cost_Price]])</f>
        <v>-45.06899999999996</v>
      </c>
    </row>
    <row r="17" spans="1:30" ht="15">
      <c r="A17" s="13" t="s">
        <v>81</v>
      </c>
      <c r="B17" s="28">
        <f>DATEVALUE(Master_Data[[#This Row],[Sale_Date]])</f>
        <v>46242</v>
      </c>
      <c r="C17" s="13" t="s">
        <v>82</v>
      </c>
      <c r="D17" s="13" t="s">
        <v>83</v>
      </c>
      <c r="E17" s="13" t="str">
        <f>UPPER(TRIM(Sales_Raw!$F17))</f>
        <v>P1019</v>
      </c>
      <c r="F17" s="13" t="s">
        <v>84</v>
      </c>
      <c r="G17" s="13">
        <v>1</v>
      </c>
      <c r="H17" s="14">
        <v>365.12</v>
      </c>
      <c r="I17" s="15">
        <v>0.05</v>
      </c>
      <c r="J17" s="13" t="str">
        <f>UPPER(TRIM(Sales_Raw!$K17))</f>
        <v>CARD</v>
      </c>
      <c r="K17" s="13" t="s">
        <v>34</v>
      </c>
      <c r="L17" s="13" t="str">
        <f>PROPER(TRIM(Sales_Raw!$M17))</f>
        <v>Hasthampatti</v>
      </c>
      <c r="M17" s="13" t="s">
        <v>23</v>
      </c>
      <c r="N17" s="12" t="s">
        <v>53</v>
      </c>
      <c r="O17" s="13" t="s">
        <v>65</v>
      </c>
      <c r="P17" s="16" t="str">
        <f>VLOOKUP(Sales_Raw!$E17,ProductsMasterTable[#All],2,FALSE)</f>
        <v>Cola 750ml</v>
      </c>
      <c r="Q17" s="16" t="str">
        <f>VLOOKUP(Sales_Raw!$E17,ProductsMasterTable[#All],3,FALSE)</f>
        <v>Beverages</v>
      </c>
      <c r="R17" s="16" t="str">
        <f>VLOOKUP(Sales_Raw!$E17,ProductsMasterTable[#All],4,FALSE)</f>
        <v>Aachi</v>
      </c>
      <c r="S17" s="16">
        <f>VLOOKUP(Sales_Raw!$E17,ProductsMasterTable[#All],5,FALSE)</f>
        <v>293.20999999999998</v>
      </c>
      <c r="T17" s="16">
        <f>VLOOKUP(Sales_Raw!$E17,ProductsMasterTable[#All],6,FALSE)</f>
        <v>385.24</v>
      </c>
      <c r="U17" s="16" t="str">
        <f>VLOOKUP(Sales_Raw!$E17,ProductsMasterTable[#All],7,FALSE)</f>
        <v>Kongu Distributors</v>
      </c>
      <c r="V17" s="16" t="str">
        <f>IFERROR(VLOOKUP(Sales_Raw!$D17,CustomersMasterTable[#All],2,FALSE),"Guest")</f>
        <v>Anitha M</v>
      </c>
      <c r="W17" s="16" t="str">
        <f>IFERROR(VLOOKUP(Sales_Raw!$D17,CustomersMasterTable[#All],3,FALSE),"Guest")</f>
        <v>Female</v>
      </c>
      <c r="X17" s="16">
        <f>IFERROR(VLOOKUP(Sales_Raw!$D17,CustomersMasterTable[#All],4,FALSE),"Guest")</f>
        <v>68</v>
      </c>
      <c r="Y17" s="16" t="str">
        <f>IFERROR(VLOOKUP(Sales_Raw!$D17,CustomersMasterTable[#All],5,FALSE),"Guest")</f>
        <v>Dharmapuri</v>
      </c>
      <c r="Z17" s="16" t="str">
        <f>IFERROR(VLOOKUP(Sales_Raw!$D17,CustomersMasterTable[#All],6,FALSE),"Guest")</f>
        <v>Silver</v>
      </c>
      <c r="AA17" s="18">
        <f>IFERROR(VLOOKUP(Sales_Raw!$D17,CustomersMasterTable[#All],7,FALSE),"Guest")</f>
        <v>45987</v>
      </c>
      <c r="AB17" s="23">
        <f>Master_Data[[#This Row],[Qty]]*Master_Data[[#This Row],[Unit_Price]]</f>
        <v>365.12</v>
      </c>
      <c r="AC17" s="23">
        <f>Master_Data[[#This Row],[Gross_ Sales]]*(1-Master_Data[[#This Row],[Discount Percentage]])</f>
        <v>346.86399999999998</v>
      </c>
      <c r="AD17" s="23">
        <f>Master_Data[[#This Row],[Net_Sales]]-(Master_Data[[#This Row],[Qty]]*Master_Data[[#This Row],[Cost_Price]])</f>
        <v>53.653999999999996</v>
      </c>
    </row>
    <row r="18" spans="1:30" ht="15">
      <c r="A18" s="8" t="s">
        <v>85</v>
      </c>
      <c r="B18" s="27">
        <f>DATEVALUE(Master_Data[[#This Row],[Sale_Date]])</f>
        <v>46267</v>
      </c>
      <c r="C18" s="8" t="s">
        <v>86</v>
      </c>
      <c r="D18" s="8" t="s">
        <v>87</v>
      </c>
      <c r="E18" s="8" t="str">
        <f>UPPER(TRIM(Sales_Raw!$F18))</f>
        <v>P1011</v>
      </c>
      <c r="F18" s="8" t="s">
        <v>57</v>
      </c>
      <c r="G18" s="8">
        <v>1</v>
      </c>
      <c r="H18" s="9">
        <v>487.98</v>
      </c>
      <c r="I18" s="10">
        <v>0.05</v>
      </c>
      <c r="J18" s="8" t="str">
        <f>UPPER(TRIM(Sales_Raw!$K18))</f>
        <v>UPI</v>
      </c>
      <c r="K18" s="8" t="s">
        <v>22</v>
      </c>
      <c r="L18" s="8" t="str">
        <f>PROPER(TRIM(Sales_Raw!$M18))</f>
        <v>Hasthampatti</v>
      </c>
      <c r="M18" s="8" t="s">
        <v>23</v>
      </c>
      <c r="N18" s="7" t="s">
        <v>16</v>
      </c>
      <c r="O18" s="8" t="s">
        <v>17</v>
      </c>
      <c r="P18" s="11" t="str">
        <f>VLOOKUP(Sales_Raw!$E18,ProductsMasterTable[#All],2,FALSE)</f>
        <v>Cheese Slices</v>
      </c>
      <c r="Q18" s="11" t="str">
        <f>VLOOKUP(Sales_Raw!$E18,ProductsMasterTable[#All],3,FALSE)</f>
        <v>Dairy</v>
      </c>
      <c r="R18" s="11" t="str">
        <f>VLOOKUP(Sales_Raw!$E18,ProductsMasterTable[#All],4,FALSE)</f>
        <v>Cavin's</v>
      </c>
      <c r="S18" s="11">
        <f>VLOOKUP(Sales_Raw!$E18,ProductsMasterTable[#All],5,FALSE)</f>
        <v>409.19</v>
      </c>
      <c r="T18" s="11">
        <f>VLOOKUP(Sales_Raw!$E18,ProductsMasterTable[#All],6,FALSE)</f>
        <v>493.92</v>
      </c>
      <c r="U18" s="11" t="str">
        <f>VLOOKUP(Sales_Raw!$E18,ProductsMasterTable[#All],7,FALSE)</f>
        <v>Metro Supply Co</v>
      </c>
      <c r="V18" s="11" t="str">
        <f>IFERROR(VLOOKUP(Sales_Raw!$D18,CustomersMasterTable[#All],2,FALSE),"Guest")</f>
        <v>Deepa Raj</v>
      </c>
      <c r="W18" s="11" t="str">
        <f>IFERROR(VLOOKUP(Sales_Raw!$D18,CustomersMasterTable[#All],3,FALSE),"Guest")</f>
        <v>Male</v>
      </c>
      <c r="X18" s="11">
        <f>IFERROR(VLOOKUP(Sales_Raw!$D18,CustomersMasterTable[#All],4,FALSE),"Guest")</f>
        <v>32</v>
      </c>
      <c r="Y18" s="11" t="str">
        <f>IFERROR(VLOOKUP(Sales_Raw!$D18,CustomersMasterTable[#All],5,FALSE),"Guest")</f>
        <v>Salem</v>
      </c>
      <c r="Z18" s="11" t="str">
        <f>IFERROR(VLOOKUP(Sales_Raw!$D18,CustomersMasterTable[#All],6,FALSE),"Guest")</f>
        <v>Silver</v>
      </c>
      <c r="AA18" s="17">
        <f>IFERROR(VLOOKUP(Sales_Raw!$D18,CustomersMasterTable[#All],7,FALSE),"Guest")</f>
        <v>46066</v>
      </c>
      <c r="AB18" s="23">
        <f>Master_Data[[#This Row],[Qty]]*Master_Data[[#This Row],[Unit_Price]]</f>
        <v>487.98</v>
      </c>
      <c r="AC18" s="23">
        <f>Master_Data[[#This Row],[Gross_ Sales]]*(1-Master_Data[[#This Row],[Discount Percentage]])</f>
        <v>463.58100000000002</v>
      </c>
      <c r="AD18" s="23">
        <f>Master_Data[[#This Row],[Net_Sales]]-(Master_Data[[#This Row],[Qty]]*Master_Data[[#This Row],[Cost_Price]])</f>
        <v>54.39100000000002</v>
      </c>
    </row>
    <row r="19" spans="1:30" ht="15">
      <c r="A19" s="13" t="s">
        <v>88</v>
      </c>
      <c r="B19" s="28">
        <f>DATEVALUE(Master_Data[[#This Row],[Sale_Date]])</f>
        <v>46264</v>
      </c>
      <c r="C19" s="13" t="s">
        <v>89</v>
      </c>
      <c r="D19" s="13" t="s">
        <v>90</v>
      </c>
      <c r="E19" s="13" t="str">
        <f>UPPER(TRIM(Sales_Raw!$F19))</f>
        <v>P1005</v>
      </c>
      <c r="F19" s="13" t="s">
        <v>69</v>
      </c>
      <c r="G19" s="13">
        <v>4</v>
      </c>
      <c r="H19" s="14">
        <v>366.04</v>
      </c>
      <c r="I19" s="15">
        <v>0.1</v>
      </c>
      <c r="J19" s="13" t="str">
        <f>UPPER(TRIM(Sales_Raw!$K19))</f>
        <v>CARD</v>
      </c>
      <c r="K19" s="13" t="s">
        <v>34</v>
      </c>
      <c r="L19" s="13" t="str">
        <f>PROPER(TRIM(Sales_Raw!$M19))</f>
        <v>Hasthampatti</v>
      </c>
      <c r="M19" s="13" t="s">
        <v>23</v>
      </c>
      <c r="N19" s="12" t="s">
        <v>41</v>
      </c>
      <c r="O19" s="13" t="s">
        <v>54</v>
      </c>
      <c r="P19" s="16" t="str">
        <f>VLOOKUP(Sales_Raw!$E19,ProductsMasterTable[#All],2,FALSE)</f>
        <v>Sugar 1kg</v>
      </c>
      <c r="Q19" s="16" t="str">
        <f>VLOOKUP(Sales_Raw!$E19,ProductsMasterTable[#All],3,FALSE)</f>
        <v>Staples</v>
      </c>
      <c r="R19" s="16" t="str">
        <f>VLOOKUP(Sales_Raw!$E19,ProductsMasterTable[#All],4,FALSE)</f>
        <v>ITC</v>
      </c>
      <c r="S19" s="16">
        <f>VLOOKUP(Sales_Raw!$E19,ProductsMasterTable[#All],5,FALSE)</f>
        <v>305.83999999999997</v>
      </c>
      <c r="T19" s="16">
        <f>VLOOKUP(Sales_Raw!$E19,ProductsMasterTable[#All],6,FALSE)</f>
        <v>391.87</v>
      </c>
      <c r="U19" s="16" t="str">
        <f>VLOOKUP(Sales_Raw!$E19,ProductsMasterTable[#All],7,FALSE)</f>
        <v>Kongu Distributors</v>
      </c>
      <c r="V19" s="16" t="str">
        <f>IFERROR(VLOOKUP(Sales_Raw!$D19,CustomersMasterTable[#All],2,FALSE),"Guest")</f>
        <v>Harish Selvam</v>
      </c>
      <c r="W19" s="16" t="str">
        <f>IFERROR(VLOOKUP(Sales_Raw!$D19,CustomersMasterTable[#All],3,FALSE),"Guest")</f>
        <v>Male</v>
      </c>
      <c r="X19" s="16">
        <f>IFERROR(VLOOKUP(Sales_Raw!$D19,CustomersMasterTable[#All],4,FALSE),"Guest")</f>
        <v>42</v>
      </c>
      <c r="Y19" s="16" t="str">
        <f>IFERROR(VLOOKUP(Sales_Raw!$D19,CustomersMasterTable[#All],5,FALSE),"Guest")</f>
        <v>Dharmapuri</v>
      </c>
      <c r="Z19" s="16" t="str">
        <f>IFERROR(VLOOKUP(Sales_Raw!$D19,CustomersMasterTable[#All],6,FALSE),"Guest")</f>
        <v>Regular</v>
      </c>
      <c r="AA19" s="18">
        <f>IFERROR(VLOOKUP(Sales_Raw!$D19,CustomersMasterTable[#All],7,FALSE),"Guest")</f>
        <v>45703</v>
      </c>
      <c r="AB19" s="23">
        <f>Master_Data[[#This Row],[Qty]]*Master_Data[[#This Row],[Unit_Price]]</f>
        <v>1464.16</v>
      </c>
      <c r="AC19" s="23">
        <f>Master_Data[[#This Row],[Gross_ Sales]]*(1-Master_Data[[#This Row],[Discount Percentage]])</f>
        <v>1317.7440000000001</v>
      </c>
      <c r="AD19" s="23">
        <f>Master_Data[[#This Row],[Net_Sales]]-(Master_Data[[#This Row],[Qty]]*Master_Data[[#This Row],[Cost_Price]])</f>
        <v>94.384000000000242</v>
      </c>
    </row>
    <row r="20" spans="1:30" ht="15">
      <c r="A20" s="8" t="s">
        <v>91</v>
      </c>
      <c r="B20" s="27">
        <f>DATEVALUE(Master_Data[[#This Row],[Sale_Date]])</f>
        <v>46269</v>
      </c>
      <c r="C20" s="8" t="s">
        <v>92</v>
      </c>
      <c r="D20" s="8" t="s">
        <v>62</v>
      </c>
      <c r="E20" s="8" t="str">
        <f>UPPER(TRIM(Sales_Raw!$F20))</f>
        <v>P1016</v>
      </c>
      <c r="F20" s="8" t="s">
        <v>93</v>
      </c>
      <c r="G20" s="8">
        <v>4</v>
      </c>
      <c r="H20" s="9">
        <v>186.07</v>
      </c>
      <c r="I20" s="10">
        <v>0.15</v>
      </c>
      <c r="J20" s="8" t="str">
        <f>UPPER(TRIM(Sales_Raw!$K20))</f>
        <v>CARD</v>
      </c>
      <c r="K20" s="8" t="s">
        <v>34</v>
      </c>
      <c r="L20" s="8" t="str">
        <f>PROPER(TRIM(Sales_Raw!$M20))</f>
        <v>Hasthampatti</v>
      </c>
      <c r="M20" s="8" t="s">
        <v>23</v>
      </c>
      <c r="N20" s="7" t="s">
        <v>16</v>
      </c>
      <c r="O20" s="8" t="s">
        <v>30</v>
      </c>
      <c r="P20" s="11" t="str">
        <f>VLOOKUP(Sales_Raw!$E20,ProductsMasterTable[#All],2,FALSE)</f>
        <v>Chocolate Bar</v>
      </c>
      <c r="Q20" s="11" t="str">
        <f>VLOOKUP(Sales_Raw!$E20,ProductsMasterTable[#All],3,FALSE)</f>
        <v>Snacks</v>
      </c>
      <c r="R20" s="11" t="str">
        <f>VLOOKUP(Sales_Raw!$E20,ProductsMasterTable[#All],4,FALSE)</f>
        <v>Nestle</v>
      </c>
      <c r="S20" s="11">
        <f>VLOOKUP(Sales_Raw!$E20,ProductsMasterTable[#All],5,FALSE)</f>
        <v>166.81</v>
      </c>
      <c r="T20" s="11">
        <f>VLOOKUP(Sales_Raw!$E20,ProductsMasterTable[#All],6,FALSE)</f>
        <v>194.87</v>
      </c>
      <c r="U20" s="11" t="str">
        <f>VLOOKUP(Sales_Raw!$E20,ProductsMasterTable[#All],7,FALSE)</f>
        <v>Salem Wholesale Mart</v>
      </c>
      <c r="V20" s="11" t="str">
        <f>IFERROR(VLOOKUP(Sales_Raw!$D20,CustomersMasterTable[#All],2,FALSE),"Guest")</f>
        <v>Divya Shree</v>
      </c>
      <c r="W20" s="11" t="str">
        <f>IFERROR(VLOOKUP(Sales_Raw!$D20,CustomersMasterTable[#All],3,FALSE),"Guest")</f>
        <v>Female</v>
      </c>
      <c r="X20" s="11">
        <f>IFERROR(VLOOKUP(Sales_Raw!$D20,CustomersMasterTable[#All],4,FALSE),"Guest")</f>
        <v>43</v>
      </c>
      <c r="Y20" s="11" t="str">
        <f>IFERROR(VLOOKUP(Sales_Raw!$D20,CustomersMasterTable[#All],5,FALSE),"Guest")</f>
        <v>Dharmapuri</v>
      </c>
      <c r="Z20" s="11" t="str">
        <f>IFERROR(VLOOKUP(Sales_Raw!$D20,CustomersMasterTable[#All],6,FALSE),"Guest")</f>
        <v>Silver</v>
      </c>
      <c r="AA20" s="17">
        <f>IFERROR(VLOOKUP(Sales_Raw!$D20,CustomersMasterTable[#All],7,FALSE),"Guest")</f>
        <v>45969</v>
      </c>
      <c r="AB20" s="23">
        <f>Master_Data[[#This Row],[Qty]]*Master_Data[[#This Row],[Unit_Price]]</f>
        <v>744.28</v>
      </c>
      <c r="AC20" s="23">
        <f>Master_Data[[#This Row],[Gross_ Sales]]*(1-Master_Data[[#This Row],[Discount Percentage]])</f>
        <v>632.63799999999992</v>
      </c>
      <c r="AD20" s="23">
        <f>Master_Data[[#This Row],[Net_Sales]]-(Master_Data[[#This Row],[Qty]]*Master_Data[[#This Row],[Cost_Price]])</f>
        <v>-34.602000000000089</v>
      </c>
    </row>
    <row r="21" spans="1:30" ht="15">
      <c r="A21" s="13" t="s">
        <v>94</v>
      </c>
      <c r="B21" s="28">
        <f>DATEVALUE(Master_Data[[#This Row],[Sale_Date]])</f>
        <v>46250</v>
      </c>
      <c r="C21" s="13" t="s">
        <v>95</v>
      </c>
      <c r="D21" s="13" t="s">
        <v>47</v>
      </c>
      <c r="E21" s="13" t="str">
        <f>UPPER(TRIM(Sales_Raw!$F21))</f>
        <v>P1030</v>
      </c>
      <c r="F21" s="13" t="s">
        <v>96</v>
      </c>
      <c r="G21" s="13">
        <v>1</v>
      </c>
      <c r="H21" s="14">
        <v>342.22</v>
      </c>
      <c r="I21" s="15">
        <v>0.05</v>
      </c>
      <c r="J21" s="13" t="str">
        <f>UPPER(TRIM(Sales_Raw!$K21))</f>
        <v>UPI</v>
      </c>
      <c r="K21" s="13" t="s">
        <v>22</v>
      </c>
      <c r="L21" s="13" t="str">
        <f>PROPER(TRIM(Sales_Raw!$M21))</f>
        <v>Hasthampatti</v>
      </c>
      <c r="M21" s="13" t="s">
        <v>23</v>
      </c>
      <c r="N21" s="12" t="s">
        <v>41</v>
      </c>
      <c r="O21" s="13" t="s">
        <v>25</v>
      </c>
      <c r="P21" s="16" t="str">
        <f>VLOOKUP(Sales_Raw!$E21,ProductsMasterTable[#All],2,FALSE)</f>
        <v>Garbage Bags</v>
      </c>
      <c r="Q21" s="16" t="str">
        <f>VLOOKUP(Sales_Raw!$E21,ProductsMasterTable[#All],3,FALSE)</f>
        <v>Household</v>
      </c>
      <c r="R21" s="16" t="str">
        <f>VLOOKUP(Sales_Raw!$E21,ProductsMasterTable[#All],4,FALSE)</f>
        <v>Nestle</v>
      </c>
      <c r="S21" s="16">
        <f>VLOOKUP(Sales_Raw!$E21,ProductsMasterTable[#All],5,FALSE)</f>
        <v>292.05</v>
      </c>
      <c r="T21" s="16">
        <f>VLOOKUP(Sales_Raw!$E21,ProductsMasterTable[#All],6,FALSE)</f>
        <v>363.17</v>
      </c>
      <c r="U21" s="16" t="str">
        <f>VLOOKUP(Sales_Raw!$E21,ProductsMasterTable[#All],7,FALSE)</f>
        <v>Metro Supply Co</v>
      </c>
      <c r="V21" s="16" t="str">
        <f>IFERROR(VLOOKUP(Sales_Raw!$D21,CustomersMasterTable[#All],2,FALSE),"Guest")</f>
        <v>Naveen S</v>
      </c>
      <c r="W21" s="16" t="str">
        <f>IFERROR(VLOOKUP(Sales_Raw!$D21,CustomersMasterTable[#All],3,FALSE),"Guest")</f>
        <v>Male</v>
      </c>
      <c r="X21" s="16">
        <f>IFERROR(VLOOKUP(Sales_Raw!$D21,CustomersMasterTable[#All],4,FALSE),"Guest")</f>
        <v>20</v>
      </c>
      <c r="Y21" s="16" t="str">
        <f>IFERROR(VLOOKUP(Sales_Raw!$D21,CustomersMasterTable[#All],5,FALSE),"Guest")</f>
        <v>Erode</v>
      </c>
      <c r="Z21" s="16" t="str">
        <f>IFERROR(VLOOKUP(Sales_Raw!$D21,CustomersMasterTable[#All],6,FALSE),"Guest")</f>
        <v>Gold</v>
      </c>
      <c r="AA21" s="18">
        <f>IFERROR(VLOOKUP(Sales_Raw!$D21,CustomersMasterTable[#All],7,FALSE),"Guest")</f>
        <v>45732</v>
      </c>
      <c r="AB21" s="23">
        <f>Master_Data[[#This Row],[Qty]]*Master_Data[[#This Row],[Unit_Price]]</f>
        <v>342.22</v>
      </c>
      <c r="AC21" s="23">
        <f>Master_Data[[#This Row],[Gross_ Sales]]*(1-Master_Data[[#This Row],[Discount Percentage]])</f>
        <v>325.10900000000004</v>
      </c>
      <c r="AD21" s="23">
        <f>Master_Data[[#This Row],[Net_Sales]]-(Master_Data[[#This Row],[Qty]]*Master_Data[[#This Row],[Cost_Price]])</f>
        <v>33.059000000000026</v>
      </c>
    </row>
    <row r="22" spans="1:30" ht="15">
      <c r="A22" s="8" t="s">
        <v>97</v>
      </c>
      <c r="B22" s="27">
        <f>DATEVALUE(Master_Data[[#This Row],[Sale_Date]])</f>
        <v>46259</v>
      </c>
      <c r="C22" s="8" t="s">
        <v>98</v>
      </c>
      <c r="D22" s="8" t="s">
        <v>99</v>
      </c>
      <c r="E22" s="8" t="str">
        <f>UPPER(TRIM(Sales_Raw!$F22))</f>
        <v>P1001</v>
      </c>
      <c r="F22" s="8" t="s">
        <v>52</v>
      </c>
      <c r="G22" s="8">
        <v>4</v>
      </c>
      <c r="H22" s="9">
        <v>305.95</v>
      </c>
      <c r="I22" s="10">
        <v>0</v>
      </c>
      <c r="J22" s="8" t="str">
        <f>UPPER(TRIM(Sales_Raw!$K22))</f>
        <v>CASH</v>
      </c>
      <c r="K22" s="8" t="s">
        <v>14</v>
      </c>
      <c r="L22" s="8" t="str">
        <f>PROPER(TRIM(Sales_Raw!$M22))</f>
        <v>Fairlands</v>
      </c>
      <c r="M22" s="8" t="s">
        <v>15</v>
      </c>
      <c r="N22" s="7" t="s">
        <v>16</v>
      </c>
      <c r="O22" s="8" t="s">
        <v>54</v>
      </c>
      <c r="P22" s="11" t="str">
        <f>VLOOKUP(Sales_Raw!$E22,ProductsMasterTable[#All],2,FALSE)</f>
        <v>Rice 5kg</v>
      </c>
      <c r="Q22" s="11" t="str">
        <f>VLOOKUP(Sales_Raw!$E22,ProductsMasterTable[#All],3,FALSE)</f>
        <v>Staples</v>
      </c>
      <c r="R22" s="11" t="str">
        <f>VLOOKUP(Sales_Raw!$E22,ProductsMasterTable[#All],4,FALSE)</f>
        <v>Nestle</v>
      </c>
      <c r="S22" s="11">
        <f>VLOOKUP(Sales_Raw!$E22,ProductsMasterTable[#All],5,FALSE)</f>
        <v>275.05</v>
      </c>
      <c r="T22" s="11">
        <f>VLOOKUP(Sales_Raw!$E22,ProductsMasterTable[#All],6,FALSE)</f>
        <v>309.64</v>
      </c>
      <c r="U22" s="11" t="str">
        <f>VLOOKUP(Sales_Raw!$E22,ProductsMasterTable[#All],7,FALSE)</f>
        <v>Kongu Distributors</v>
      </c>
      <c r="V22" s="11" t="str">
        <f>IFERROR(VLOOKUP(Sales_Raw!$D22,CustomersMasterTable[#All],2,FALSE),"Guest")</f>
        <v>Praveen S</v>
      </c>
      <c r="W22" s="11" t="str">
        <f>IFERROR(VLOOKUP(Sales_Raw!$D22,CustomersMasterTable[#All],3,FALSE),"Guest")</f>
        <v>Male</v>
      </c>
      <c r="X22" s="11">
        <f>IFERROR(VLOOKUP(Sales_Raw!$D22,CustomersMasterTable[#All],4,FALSE),"Guest")</f>
        <v>50</v>
      </c>
      <c r="Y22" s="11" t="str">
        <f>IFERROR(VLOOKUP(Sales_Raw!$D22,CustomersMasterTable[#All],5,FALSE),"Guest")</f>
        <v>Salem</v>
      </c>
      <c r="Z22" s="11" t="str">
        <f>IFERROR(VLOOKUP(Sales_Raw!$D22,CustomersMasterTable[#All],6,FALSE),"Guest")</f>
        <v>Gold</v>
      </c>
      <c r="AA22" s="17">
        <f>IFERROR(VLOOKUP(Sales_Raw!$D22,CustomersMasterTable[#All],7,FALSE),"Guest")</f>
        <v>45728</v>
      </c>
      <c r="AB22" s="23">
        <f>Master_Data[[#This Row],[Qty]]*Master_Data[[#This Row],[Unit_Price]]</f>
        <v>1223.8</v>
      </c>
      <c r="AC22" s="23">
        <f>Master_Data[[#This Row],[Gross_ Sales]]*(1-Master_Data[[#This Row],[Discount Percentage]])</f>
        <v>1223.8</v>
      </c>
      <c r="AD22" s="23">
        <f>Master_Data[[#This Row],[Net_Sales]]-(Master_Data[[#This Row],[Qty]]*Master_Data[[#This Row],[Cost_Price]])</f>
        <v>123.59999999999991</v>
      </c>
    </row>
    <row r="23" spans="1:30" ht="15">
      <c r="A23" s="13" t="s">
        <v>100</v>
      </c>
      <c r="B23" s="28">
        <f>DATEVALUE(Master_Data[[#This Row],[Sale_Date]])</f>
        <v>46251</v>
      </c>
      <c r="C23" s="13" t="s">
        <v>56</v>
      </c>
      <c r="D23" s="13" t="s">
        <v>99</v>
      </c>
      <c r="E23" s="13" t="str">
        <f>UPPER(TRIM(Sales_Raw!$F23))</f>
        <v>P1009</v>
      </c>
      <c r="F23" s="13" t="s">
        <v>101</v>
      </c>
      <c r="G23" s="13">
        <v>5</v>
      </c>
      <c r="H23" s="14">
        <v>73</v>
      </c>
      <c r="I23" s="15">
        <v>0</v>
      </c>
      <c r="J23" s="13" t="str">
        <f>UPPER(TRIM(Sales_Raw!$K23))</f>
        <v>CARD</v>
      </c>
      <c r="K23" s="13" t="s">
        <v>102</v>
      </c>
      <c r="L23" s="13" t="str">
        <f>PROPER(TRIM(Sales_Raw!$M23))</f>
        <v>Fairlands</v>
      </c>
      <c r="M23" s="13" t="s">
        <v>15</v>
      </c>
      <c r="N23" s="12" t="s">
        <v>41</v>
      </c>
      <c r="O23" s="13" t="s">
        <v>17</v>
      </c>
      <c r="P23" s="16" t="str">
        <f>VLOOKUP(Sales_Raw!$E23,ProductsMasterTable[#All],2,FALSE)</f>
        <v>Paneer 200g</v>
      </c>
      <c r="Q23" s="16" t="str">
        <f>VLOOKUP(Sales_Raw!$E23,ProductsMasterTable[#All],3,FALSE)</f>
        <v>Dairy</v>
      </c>
      <c r="R23" s="16" t="str">
        <f>VLOOKUP(Sales_Raw!$E23,ProductsMasterTable[#All],4,FALSE)</f>
        <v>Surf</v>
      </c>
      <c r="S23" s="16">
        <f>VLOOKUP(Sales_Raw!$E23,ProductsMasterTable[#All],5,FALSE)</f>
        <v>56.88</v>
      </c>
      <c r="T23" s="16">
        <f>VLOOKUP(Sales_Raw!$E23,ProductsMasterTable[#All],6,FALSE)</f>
        <v>74.790000000000006</v>
      </c>
      <c r="U23" s="16" t="str">
        <f>VLOOKUP(Sales_Raw!$E23,ProductsMasterTable[#All],7,FALSE)</f>
        <v>Metro Supply Co</v>
      </c>
      <c r="V23" s="16" t="str">
        <f>IFERROR(VLOOKUP(Sales_Raw!$D23,CustomersMasterTable[#All],2,FALSE),"Guest")</f>
        <v>Praveen S</v>
      </c>
      <c r="W23" s="16" t="str">
        <f>IFERROR(VLOOKUP(Sales_Raw!$D23,CustomersMasterTable[#All],3,FALSE),"Guest")</f>
        <v>Male</v>
      </c>
      <c r="X23" s="16">
        <f>IFERROR(VLOOKUP(Sales_Raw!$D23,CustomersMasterTable[#All],4,FALSE),"Guest")</f>
        <v>50</v>
      </c>
      <c r="Y23" s="16" t="str">
        <f>IFERROR(VLOOKUP(Sales_Raw!$D23,CustomersMasterTable[#All],5,FALSE),"Guest")</f>
        <v>Salem</v>
      </c>
      <c r="Z23" s="16" t="str">
        <f>IFERROR(VLOOKUP(Sales_Raw!$D23,CustomersMasterTable[#All],6,FALSE),"Guest")</f>
        <v>Gold</v>
      </c>
      <c r="AA23" s="18">
        <f>IFERROR(VLOOKUP(Sales_Raw!$D23,CustomersMasterTable[#All],7,FALSE),"Guest")</f>
        <v>45728</v>
      </c>
      <c r="AB23" s="23">
        <f>Master_Data[[#This Row],[Qty]]*Master_Data[[#This Row],[Unit_Price]]</f>
        <v>365</v>
      </c>
      <c r="AC23" s="23">
        <f>Master_Data[[#This Row],[Gross_ Sales]]*(1-Master_Data[[#This Row],[Discount Percentage]])</f>
        <v>365</v>
      </c>
      <c r="AD23" s="23">
        <f>Master_Data[[#This Row],[Net_Sales]]-(Master_Data[[#This Row],[Qty]]*Master_Data[[#This Row],[Cost_Price]])</f>
        <v>80.599999999999966</v>
      </c>
    </row>
    <row r="24" spans="1:30" ht="29.25">
      <c r="A24" s="8" t="s">
        <v>103</v>
      </c>
      <c r="B24" s="27">
        <f>DATEVALUE(Master_Data[[#This Row],[Sale_Date]])</f>
        <v>46247</v>
      </c>
      <c r="C24" s="8" t="s">
        <v>104</v>
      </c>
      <c r="D24" s="8" t="s">
        <v>105</v>
      </c>
      <c r="E24" s="8" t="str">
        <f>UPPER(TRIM(Sales_Raw!$F24))</f>
        <v>P1008</v>
      </c>
      <c r="F24" s="8" t="s">
        <v>13</v>
      </c>
      <c r="G24" s="8">
        <v>6</v>
      </c>
      <c r="H24" s="9">
        <v>459.42</v>
      </c>
      <c r="I24" s="10">
        <v>0.1</v>
      </c>
      <c r="J24" s="8" t="str">
        <f>UPPER(TRIM(Sales_Raw!$K24))</f>
        <v>UPI</v>
      </c>
      <c r="K24" s="8" t="s">
        <v>22</v>
      </c>
      <c r="L24" s="8" t="str">
        <f>PROPER(TRIM(Sales_Raw!$M24))</f>
        <v>Suramangalam</v>
      </c>
      <c r="M24" s="8" t="s">
        <v>40</v>
      </c>
      <c r="N24" s="7" t="s">
        <v>35</v>
      </c>
      <c r="O24" s="8" t="s">
        <v>17</v>
      </c>
      <c r="P24" s="11" t="str">
        <f>VLOOKUP(Sales_Raw!$E24,ProductsMasterTable[#All],2,FALSE)</f>
        <v>Curd 500g</v>
      </c>
      <c r="Q24" s="11" t="str">
        <f>VLOOKUP(Sales_Raw!$E24,ProductsMasterTable[#All],3,FALSE)</f>
        <v>Dairy</v>
      </c>
      <c r="R24" s="11" t="str">
        <f>VLOOKUP(Sales_Raw!$E24,ProductsMasterTable[#All],4,FALSE)</f>
        <v>Aavin</v>
      </c>
      <c r="S24" s="11">
        <f>VLOOKUP(Sales_Raw!$E24,ProductsMasterTable[#All],5,FALSE)</f>
        <v>402.8</v>
      </c>
      <c r="T24" s="11">
        <f>VLOOKUP(Sales_Raw!$E24,ProductsMasterTable[#All],6,FALSE)</f>
        <v>482.32</v>
      </c>
      <c r="U24" s="11" t="str">
        <f>VLOOKUP(Sales_Raw!$E24,ProductsMasterTable[#All],7,FALSE)</f>
        <v>FreshLine Traders</v>
      </c>
      <c r="V24" s="11" t="str">
        <f>IFERROR(VLOOKUP(Sales_Raw!$D24,CustomersMasterTable[#All],2,FALSE),"Guest")</f>
        <v>Nithya R</v>
      </c>
      <c r="W24" s="11" t="str">
        <f>IFERROR(VLOOKUP(Sales_Raw!$D24,CustomersMasterTable[#All],3,FALSE),"Guest")</f>
        <v>Male</v>
      </c>
      <c r="X24" s="11">
        <f>IFERROR(VLOOKUP(Sales_Raw!$D24,CustomersMasterTable[#All],4,FALSE),"Guest")</f>
        <v>26</v>
      </c>
      <c r="Y24" s="11" t="str">
        <f>IFERROR(VLOOKUP(Sales_Raw!$D24,CustomersMasterTable[#All],5,FALSE),"Guest")</f>
        <v>Karur</v>
      </c>
      <c r="Z24" s="11" t="str">
        <f>IFERROR(VLOOKUP(Sales_Raw!$D24,CustomersMasterTable[#All],6,FALSE),"Guest")</f>
        <v>Regular</v>
      </c>
      <c r="AA24" s="17">
        <f>IFERROR(VLOOKUP(Sales_Raw!$D24,CustomersMasterTable[#All],7,FALSE),"Guest")</f>
        <v>46220</v>
      </c>
      <c r="AB24" s="23">
        <f>Master_Data[[#This Row],[Qty]]*Master_Data[[#This Row],[Unit_Price]]</f>
        <v>2756.52</v>
      </c>
      <c r="AC24" s="23">
        <f>Master_Data[[#This Row],[Gross_ Sales]]*(1-Master_Data[[#This Row],[Discount Percentage]])</f>
        <v>2480.8679999999999</v>
      </c>
      <c r="AD24" s="23">
        <f>Master_Data[[#This Row],[Net_Sales]]-(Master_Data[[#This Row],[Qty]]*Master_Data[[#This Row],[Cost_Price]])</f>
        <v>64.067999999999756</v>
      </c>
    </row>
    <row r="25" spans="1:30" ht="29.25">
      <c r="A25" s="13" t="s">
        <v>106</v>
      </c>
      <c r="B25" s="28">
        <f>DATEVALUE(Master_Data[[#This Row],[Sale_Date]])</f>
        <v>46266</v>
      </c>
      <c r="C25" s="13" t="s">
        <v>11</v>
      </c>
      <c r="D25" s="13" t="s">
        <v>107</v>
      </c>
      <c r="E25" s="13" t="str">
        <f>UPPER(TRIM(Sales_Raw!$F25))</f>
        <v>P1026</v>
      </c>
      <c r="F25" s="13" t="s">
        <v>108</v>
      </c>
      <c r="G25" s="13">
        <v>1</v>
      </c>
      <c r="H25" s="14">
        <v>259.66000000000003</v>
      </c>
      <c r="I25" s="15">
        <v>0</v>
      </c>
      <c r="J25" s="13" t="str">
        <f>UPPER(TRIM(Sales_Raw!$K25))</f>
        <v>CASH</v>
      </c>
      <c r="K25" s="13" t="s">
        <v>14</v>
      </c>
      <c r="L25" s="13" t="str">
        <f>PROPER(TRIM(Sales_Raw!$M25))</f>
        <v>Suramangalam</v>
      </c>
      <c r="M25" s="13" t="s">
        <v>40</v>
      </c>
      <c r="N25" s="12" t="s">
        <v>24</v>
      </c>
      <c r="O25" s="13" t="s">
        <v>30</v>
      </c>
      <c r="P25" s="16" t="str">
        <f>VLOOKUP(Sales_Raw!$E25,ProductsMasterTable[#All],2,FALSE)</f>
        <v>Dishwash Liquid</v>
      </c>
      <c r="Q25" s="16" t="str">
        <f>VLOOKUP(Sales_Raw!$E25,ProductsMasterTable[#All],3,FALSE)</f>
        <v>Household</v>
      </c>
      <c r="R25" s="16" t="str">
        <f>VLOOKUP(Sales_Raw!$E25,ProductsMasterTable[#All],4,FALSE)</f>
        <v>Aavin</v>
      </c>
      <c r="S25" s="16">
        <f>VLOOKUP(Sales_Raw!$E25,ProductsMasterTable[#All],5,FALSE)</f>
        <v>216.39</v>
      </c>
      <c r="T25" s="16">
        <f>VLOOKUP(Sales_Raw!$E25,ProductsMasterTable[#All],6,FALSE)</f>
        <v>279.97000000000003</v>
      </c>
      <c r="U25" s="16" t="str">
        <f>VLOOKUP(Sales_Raw!$E25,ProductsMasterTable[#All],7,FALSE)</f>
        <v>Kongu Distributors</v>
      </c>
      <c r="V25" s="16" t="str">
        <f>IFERROR(VLOOKUP(Sales_Raw!$D25,CustomersMasterTable[#All],2,FALSE),"Guest")</f>
        <v>Meena M</v>
      </c>
      <c r="W25" s="16" t="str">
        <f>IFERROR(VLOOKUP(Sales_Raw!$D25,CustomersMasterTable[#All],3,FALSE),"Guest")</f>
        <v>Female</v>
      </c>
      <c r="X25" s="16">
        <f>IFERROR(VLOOKUP(Sales_Raw!$D25,CustomersMasterTable[#All],4,FALSE),"Guest")</f>
        <v>36</v>
      </c>
      <c r="Y25" s="16" t="str">
        <f>IFERROR(VLOOKUP(Sales_Raw!$D25,CustomersMasterTable[#All],5,FALSE),"Guest")</f>
        <v>Erode</v>
      </c>
      <c r="Z25" s="16" t="str">
        <f>IFERROR(VLOOKUP(Sales_Raw!$D25,CustomersMasterTable[#All],6,FALSE),"Guest")</f>
        <v>Regular</v>
      </c>
      <c r="AA25" s="18">
        <f>IFERROR(VLOOKUP(Sales_Raw!$D25,CustomersMasterTable[#All],7,FALSE),"Guest")</f>
        <v>46214</v>
      </c>
      <c r="AB25" s="23">
        <f>Master_Data[[#This Row],[Qty]]*Master_Data[[#This Row],[Unit_Price]]</f>
        <v>259.66000000000003</v>
      </c>
      <c r="AC25" s="23">
        <f>Master_Data[[#This Row],[Gross_ Sales]]*(1-Master_Data[[#This Row],[Discount Percentage]])</f>
        <v>259.66000000000003</v>
      </c>
      <c r="AD25" s="23">
        <f>Master_Data[[#This Row],[Net_Sales]]-(Master_Data[[#This Row],[Qty]]*Master_Data[[#This Row],[Cost_Price]])</f>
        <v>43.270000000000039</v>
      </c>
    </row>
    <row r="26" spans="1:30" ht="15">
      <c r="A26" s="8" t="s">
        <v>109</v>
      </c>
      <c r="B26" s="27">
        <f>DATEVALUE(Master_Data[[#This Row],[Sale_Date]])</f>
        <v>46258</v>
      </c>
      <c r="C26" s="8" t="s">
        <v>71</v>
      </c>
      <c r="D26" s="8" t="s">
        <v>110</v>
      </c>
      <c r="E26" s="8" t="str">
        <f>UPPER(TRIM(Sales_Raw!$F26))</f>
        <v>P1018</v>
      </c>
      <c r="F26" s="8" t="s">
        <v>111</v>
      </c>
      <c r="G26" s="8">
        <v>5</v>
      </c>
      <c r="H26" s="9">
        <v>228.29</v>
      </c>
      <c r="I26" s="10">
        <v>0.15</v>
      </c>
      <c r="J26" s="8" t="str">
        <f>UPPER(TRIM(Sales_Raw!$K26))</f>
        <v>CARD</v>
      </c>
      <c r="K26" s="8" t="s">
        <v>34</v>
      </c>
      <c r="L26" s="8" t="str">
        <f>PROPER(TRIM(Sales_Raw!$M26))</f>
        <v>Hasthampatti</v>
      </c>
      <c r="M26" s="8" t="s">
        <v>23</v>
      </c>
      <c r="N26" s="7" t="s">
        <v>16</v>
      </c>
      <c r="O26" s="8" t="s">
        <v>65</v>
      </c>
      <c r="P26" s="11" t="str">
        <f>VLOOKUP(Sales_Raw!$E26,ProductsMasterTable[#All],2,FALSE)</f>
        <v>Orange Juice 1L</v>
      </c>
      <c r="Q26" s="11" t="str">
        <f>VLOOKUP(Sales_Raw!$E26,ProductsMasterTable[#All],3,FALSE)</f>
        <v>Beverages</v>
      </c>
      <c r="R26" s="11" t="str">
        <f>VLOOKUP(Sales_Raw!$E26,ProductsMasterTable[#All],4,FALSE)</f>
        <v>Cavin's</v>
      </c>
      <c r="S26" s="11">
        <f>VLOOKUP(Sales_Raw!$E26,ProductsMasterTable[#All],5,FALSE)</f>
        <v>203.83</v>
      </c>
      <c r="T26" s="11">
        <f>VLOOKUP(Sales_Raw!$E26,ProductsMasterTable[#All],6,FALSE)</f>
        <v>240.94</v>
      </c>
      <c r="U26" s="11" t="str">
        <f>VLOOKUP(Sales_Raw!$E26,ProductsMasterTable[#All],7,FALSE)</f>
        <v>Kongu Distributors</v>
      </c>
      <c r="V26" s="11" t="str">
        <f>IFERROR(VLOOKUP(Sales_Raw!$D26,CustomersMasterTable[#All],2,FALSE),"Guest")</f>
        <v>Vignesh Raj</v>
      </c>
      <c r="W26" s="11" t="str">
        <f>IFERROR(VLOOKUP(Sales_Raw!$D26,CustomersMasterTable[#All],3,FALSE),"Guest")</f>
        <v>Male</v>
      </c>
      <c r="X26" s="11">
        <f>IFERROR(VLOOKUP(Sales_Raw!$D26,CustomersMasterTable[#All],4,FALSE),"Guest")</f>
        <v>24</v>
      </c>
      <c r="Y26" s="11" t="str">
        <f>IFERROR(VLOOKUP(Sales_Raw!$D26,CustomersMasterTable[#All],5,FALSE),"Guest")</f>
        <v>Karur</v>
      </c>
      <c r="Z26" s="11" t="str">
        <f>IFERROR(VLOOKUP(Sales_Raw!$D26,CustomersMasterTable[#All],6,FALSE),"Guest")</f>
        <v>Silver</v>
      </c>
      <c r="AA26" s="17">
        <f>IFERROR(VLOOKUP(Sales_Raw!$D26,CustomersMasterTable[#All],7,FALSE),"Guest")</f>
        <v>45936</v>
      </c>
      <c r="AB26" s="23">
        <f>Master_Data[[#This Row],[Qty]]*Master_Data[[#This Row],[Unit_Price]]</f>
        <v>1141.45</v>
      </c>
      <c r="AC26" s="23">
        <f>Master_Data[[#This Row],[Gross_ Sales]]*(1-Master_Data[[#This Row],[Discount Percentage]])</f>
        <v>970.23249999999996</v>
      </c>
      <c r="AD26" s="23">
        <f>Master_Data[[#This Row],[Net_Sales]]-(Master_Data[[#This Row],[Qty]]*Master_Data[[#This Row],[Cost_Price]])</f>
        <v>-48.917500000000132</v>
      </c>
    </row>
    <row r="27" spans="1:30" ht="15">
      <c r="A27" s="13" t="s">
        <v>112</v>
      </c>
      <c r="B27" s="28">
        <f>DATEVALUE(Master_Data[[#This Row],[Sale_Date]])</f>
        <v>46264</v>
      </c>
      <c r="C27" s="13" t="s">
        <v>113</v>
      </c>
      <c r="D27" s="13" t="s">
        <v>114</v>
      </c>
      <c r="E27" s="13" t="str">
        <f>UPPER(TRIM(Sales_Raw!$F27))</f>
        <v>P1010</v>
      </c>
      <c r="F27" s="13" t="s">
        <v>39</v>
      </c>
      <c r="G27" s="13">
        <v>3</v>
      </c>
      <c r="H27" s="14">
        <v>413.9</v>
      </c>
      <c r="I27" s="15">
        <v>0.15</v>
      </c>
      <c r="J27" s="13" t="str">
        <f>UPPER(TRIM(Sales_Raw!$K27))</f>
        <v>UPI</v>
      </c>
      <c r="K27" s="13" t="s">
        <v>22</v>
      </c>
      <c r="L27" s="13" t="str">
        <f>PROPER(TRIM(Sales_Raw!$M27))</f>
        <v>Hasthampatti</v>
      </c>
      <c r="M27" s="13" t="s">
        <v>23</v>
      </c>
      <c r="N27" s="12" t="s">
        <v>53</v>
      </c>
      <c r="O27" s="13" t="s">
        <v>17</v>
      </c>
      <c r="P27" s="16" t="str">
        <f>VLOOKUP(Sales_Raw!$E27,ProductsMasterTable[#All],2,FALSE)</f>
        <v>Butter 100g</v>
      </c>
      <c r="Q27" s="16" t="str">
        <f>VLOOKUP(Sales_Raw!$E27,ProductsMasterTable[#All],3,FALSE)</f>
        <v>Dairy</v>
      </c>
      <c r="R27" s="16" t="str">
        <f>VLOOKUP(Sales_Raw!$E27,ProductsMasterTable[#All],4,FALSE)</f>
        <v>Cavin's</v>
      </c>
      <c r="S27" s="16">
        <f>VLOOKUP(Sales_Raw!$E27,ProductsMasterTable[#All],5,FALSE)</f>
        <v>342.47</v>
      </c>
      <c r="T27" s="16">
        <f>VLOOKUP(Sales_Raw!$E27,ProductsMasterTable[#All],6,FALSE)</f>
        <v>441.05</v>
      </c>
      <c r="U27" s="16" t="str">
        <f>VLOOKUP(Sales_Raw!$E27,ProductsMasterTable[#All],7,FALSE)</f>
        <v>Salem Wholesale Mart</v>
      </c>
      <c r="V27" s="16" t="str">
        <f>IFERROR(VLOOKUP(Sales_Raw!$D27,CustomersMasterTable[#All],2,FALSE),"Guest")</f>
        <v>Nithya M</v>
      </c>
      <c r="W27" s="16" t="str">
        <f>IFERROR(VLOOKUP(Sales_Raw!$D27,CustomersMasterTable[#All],3,FALSE),"Guest")</f>
        <v>Female</v>
      </c>
      <c r="X27" s="16">
        <f>IFERROR(VLOOKUP(Sales_Raw!$D27,CustomersMasterTable[#All],4,FALSE),"Guest")</f>
        <v>21</v>
      </c>
      <c r="Y27" s="16" t="str">
        <f>IFERROR(VLOOKUP(Sales_Raw!$D27,CustomersMasterTable[#All],5,FALSE),"Guest")</f>
        <v>Erode</v>
      </c>
      <c r="Z27" s="16" t="str">
        <f>IFERROR(VLOOKUP(Sales_Raw!$D27,CustomersMasterTable[#All],6,FALSE),"Guest")</f>
        <v>Regular</v>
      </c>
      <c r="AA27" s="18">
        <f>IFERROR(VLOOKUP(Sales_Raw!$D27,CustomersMasterTable[#All],7,FALSE),"Guest")</f>
        <v>46057</v>
      </c>
      <c r="AB27" s="23">
        <f>Master_Data[[#This Row],[Qty]]*Master_Data[[#This Row],[Unit_Price]]</f>
        <v>1241.6999999999998</v>
      </c>
      <c r="AC27" s="23">
        <f>Master_Data[[#This Row],[Gross_ Sales]]*(1-Master_Data[[#This Row],[Discount Percentage]])</f>
        <v>1055.4449999999997</v>
      </c>
      <c r="AD27" s="23">
        <f>Master_Data[[#This Row],[Net_Sales]]-(Master_Data[[#This Row],[Qty]]*Master_Data[[#This Row],[Cost_Price]])</f>
        <v>28.034999999999627</v>
      </c>
    </row>
    <row r="28" spans="1:30" ht="15">
      <c r="A28" s="8" t="s">
        <v>115</v>
      </c>
      <c r="B28" s="27">
        <f>DATEVALUE(Master_Data[[#This Row],[Sale_Date]])</f>
        <v>46269</v>
      </c>
      <c r="C28" s="8" t="s">
        <v>92</v>
      </c>
      <c r="D28" s="8" t="s">
        <v>116</v>
      </c>
      <c r="E28" s="8" t="str">
        <f>UPPER(TRIM(Sales_Raw!$F28))</f>
        <v>P1023</v>
      </c>
      <c r="F28" s="8" t="s">
        <v>78</v>
      </c>
      <c r="G28" s="8">
        <v>2</v>
      </c>
      <c r="H28" s="9">
        <v>137.01</v>
      </c>
      <c r="I28" s="10">
        <v>0.15</v>
      </c>
      <c r="J28" s="8" t="str">
        <f>UPPER(TRIM(Sales_Raw!$K28))</f>
        <v>CASH</v>
      </c>
      <c r="K28" s="8" t="s">
        <v>14</v>
      </c>
      <c r="L28" s="8" t="str">
        <f>PROPER(TRIM(Sales_Raw!$M28))</f>
        <v>Hasthampatti</v>
      </c>
      <c r="M28" s="8" t="s">
        <v>23</v>
      </c>
      <c r="N28" s="7" t="s">
        <v>41</v>
      </c>
      <c r="O28" s="8" t="s">
        <v>80</v>
      </c>
      <c r="P28" s="11" t="str">
        <f>VLOOKUP(Sales_Raw!$E28,ProductsMasterTable[#All],2,FALSE)</f>
        <v>Shampoo 180ml</v>
      </c>
      <c r="Q28" s="11" t="str">
        <f>VLOOKUP(Sales_Raw!$E28,ProductsMasterTable[#All],3,FALSE)</f>
        <v>Personal Care</v>
      </c>
      <c r="R28" s="11" t="str">
        <f>VLOOKUP(Sales_Raw!$E28,ProductsMasterTable[#All],4,FALSE)</f>
        <v>Cavin's</v>
      </c>
      <c r="S28" s="11">
        <f>VLOOKUP(Sales_Raw!$E28,ProductsMasterTable[#All],5,FALSE)</f>
        <v>124.48</v>
      </c>
      <c r="T28" s="11">
        <f>VLOOKUP(Sales_Raw!$E28,ProductsMasterTable[#All],6,FALSE)</f>
        <v>146.47999999999999</v>
      </c>
      <c r="U28" s="11" t="str">
        <f>VLOOKUP(Sales_Raw!$E28,ProductsMasterTable[#All],7,FALSE)</f>
        <v>Sri Ganesh Agencies</v>
      </c>
      <c r="V28" s="11" t="str">
        <f>IFERROR(VLOOKUP(Sales_Raw!$D28,CustomersMasterTable[#All],2,FALSE),"Guest")</f>
        <v>Harish Selvam</v>
      </c>
      <c r="W28" s="11" t="str">
        <f>IFERROR(VLOOKUP(Sales_Raw!$D28,CustomersMasterTable[#All],3,FALSE),"Guest")</f>
        <v>Female</v>
      </c>
      <c r="X28" s="11">
        <f>IFERROR(VLOOKUP(Sales_Raw!$D28,CustomersMasterTable[#All],4,FALSE),"Guest")</f>
        <v>53</v>
      </c>
      <c r="Y28" s="11" t="str">
        <f>IFERROR(VLOOKUP(Sales_Raw!$D28,CustomersMasterTable[#All],5,FALSE),"Guest")</f>
        <v>Erode</v>
      </c>
      <c r="Z28" s="11" t="str">
        <f>IFERROR(VLOOKUP(Sales_Raw!$D28,CustomersMasterTable[#All],6,FALSE),"Guest")</f>
        <v>Regular</v>
      </c>
      <c r="AA28" s="17">
        <f>IFERROR(VLOOKUP(Sales_Raw!$D28,CustomersMasterTable[#All],7,FALSE),"Guest")</f>
        <v>46046</v>
      </c>
      <c r="AB28" s="23">
        <f>Master_Data[[#This Row],[Qty]]*Master_Data[[#This Row],[Unit_Price]]</f>
        <v>274.02</v>
      </c>
      <c r="AC28" s="23">
        <f>Master_Data[[#This Row],[Gross_ Sales]]*(1-Master_Data[[#This Row],[Discount Percentage]])</f>
        <v>232.91699999999997</v>
      </c>
      <c r="AD28" s="23">
        <f>Master_Data[[#This Row],[Net_Sales]]-(Master_Data[[#This Row],[Qty]]*Master_Data[[#This Row],[Cost_Price]])</f>
        <v>-16.043000000000035</v>
      </c>
    </row>
    <row r="29" spans="1:30" ht="15">
      <c r="A29" s="13" t="s">
        <v>117</v>
      </c>
      <c r="B29" s="28">
        <f>DATEVALUE(Master_Data[[#This Row],[Sale_Date]])</f>
        <v>46268</v>
      </c>
      <c r="C29" s="13" t="s">
        <v>118</v>
      </c>
      <c r="D29" s="13" t="s">
        <v>490</v>
      </c>
      <c r="E29" s="13" t="str">
        <f>UPPER(TRIM(Sales_Raw!$F29))</f>
        <v>P1010</v>
      </c>
      <c r="F29" s="13" t="s">
        <v>39</v>
      </c>
      <c r="G29" s="13">
        <v>1</v>
      </c>
      <c r="H29" s="14">
        <v>435.14</v>
      </c>
      <c r="I29" s="15">
        <v>0</v>
      </c>
      <c r="J29" s="13" t="str">
        <f>UPPER(TRIM(Sales_Raw!$K29))</f>
        <v>UPI</v>
      </c>
      <c r="K29" s="13" t="s">
        <v>22</v>
      </c>
      <c r="L29" s="13" t="str">
        <f>PROPER(TRIM(Sales_Raw!$M29))</f>
        <v>Hasthampatti</v>
      </c>
      <c r="M29" s="13" t="s">
        <v>23</v>
      </c>
      <c r="N29" s="12" t="s">
        <v>24</v>
      </c>
      <c r="O29" s="13" t="s">
        <v>17</v>
      </c>
      <c r="P29" s="16" t="str">
        <f>VLOOKUP(Sales_Raw!$E29,ProductsMasterTable[#All],2,FALSE)</f>
        <v>Butter 100g</v>
      </c>
      <c r="Q29" s="16" t="str">
        <f>VLOOKUP(Sales_Raw!$E29,ProductsMasterTable[#All],3,FALSE)</f>
        <v>Dairy</v>
      </c>
      <c r="R29" s="16" t="str">
        <f>VLOOKUP(Sales_Raw!$E29,ProductsMasterTable[#All],4,FALSE)</f>
        <v>Cavin's</v>
      </c>
      <c r="S29" s="16">
        <f>VLOOKUP(Sales_Raw!$E29,ProductsMasterTable[#All],5,FALSE)</f>
        <v>342.47</v>
      </c>
      <c r="T29" s="16">
        <f>VLOOKUP(Sales_Raw!$E29,ProductsMasterTable[#All],6,FALSE)</f>
        <v>441.05</v>
      </c>
      <c r="U29" s="16" t="str">
        <f>VLOOKUP(Sales_Raw!$E29,ProductsMasterTable[#All],7,FALSE)</f>
        <v>Salem Wholesale Mart</v>
      </c>
      <c r="V29" s="16" t="str">
        <f>IFERROR(VLOOKUP(Sales_Raw!$D29,CustomersMasterTable[#All],2,FALSE),"Guest")</f>
        <v>Guest</v>
      </c>
      <c r="W29" s="16" t="str">
        <f>IFERROR(VLOOKUP(Sales_Raw!$D29,CustomersMasterTable[#All],3,FALSE),"Guest")</f>
        <v>Guest</v>
      </c>
      <c r="X29" s="16" t="str">
        <f>IFERROR(VLOOKUP(Sales_Raw!$D29,CustomersMasterTable[#All],4,FALSE),"Guest")</f>
        <v>Guest</v>
      </c>
      <c r="Y29" s="16" t="str">
        <f>IFERROR(VLOOKUP(Sales_Raw!$D29,CustomersMasterTable[#All],5,FALSE),"Guest")</f>
        <v>Guest</v>
      </c>
      <c r="Z29" s="16" t="str">
        <f>IFERROR(VLOOKUP(Sales_Raw!$D29,CustomersMasterTable[#All],6,FALSE),"Guest")</f>
        <v>Guest</v>
      </c>
      <c r="AA29" s="18" t="str">
        <f>IFERROR(VLOOKUP(Sales_Raw!$D29,CustomersMasterTable[#All],7,FALSE),"Guest")</f>
        <v>Guest</v>
      </c>
      <c r="AB29" s="23">
        <f>Master_Data[[#This Row],[Qty]]*Master_Data[[#This Row],[Unit_Price]]</f>
        <v>435.14</v>
      </c>
      <c r="AC29" s="23">
        <f>Master_Data[[#This Row],[Gross_ Sales]]*(1-Master_Data[[#This Row],[Discount Percentage]])</f>
        <v>435.14</v>
      </c>
      <c r="AD29" s="23">
        <f>Master_Data[[#This Row],[Net_Sales]]-(Master_Data[[#This Row],[Qty]]*Master_Data[[#This Row],[Cost_Price]])</f>
        <v>92.669999999999959</v>
      </c>
    </row>
    <row r="30" spans="1:30" ht="29.25">
      <c r="A30" s="8" t="s">
        <v>119</v>
      </c>
      <c r="B30" s="27">
        <f>DATEVALUE(Master_Data[[#This Row],[Sale_Date]])</f>
        <v>46254</v>
      </c>
      <c r="C30" s="8" t="s">
        <v>120</v>
      </c>
      <c r="D30" s="8" t="s">
        <v>121</v>
      </c>
      <c r="E30" s="8" t="str">
        <f>UPPER(TRIM(Sales_Raw!$F30))</f>
        <v>P1023</v>
      </c>
      <c r="F30" s="8" t="s">
        <v>78</v>
      </c>
      <c r="G30" s="8">
        <v>5</v>
      </c>
      <c r="H30" s="9">
        <v>136.24</v>
      </c>
      <c r="I30" s="10">
        <v>0</v>
      </c>
      <c r="J30" s="8" t="str">
        <f>UPPER(TRIM(Sales_Raw!$K30))</f>
        <v>UPI</v>
      </c>
      <c r="K30" s="8" t="s">
        <v>22</v>
      </c>
      <c r="L30" s="8" t="str">
        <f>PROPER(TRIM(Sales_Raw!$M30))</f>
        <v>Suramangalam</v>
      </c>
      <c r="M30" s="8" t="s">
        <v>40</v>
      </c>
      <c r="N30" s="7" t="s">
        <v>16</v>
      </c>
      <c r="O30" s="8" t="s">
        <v>80</v>
      </c>
      <c r="P30" s="11" t="str">
        <f>VLOOKUP(Sales_Raw!$E30,ProductsMasterTable[#All],2,FALSE)</f>
        <v>Shampoo 180ml</v>
      </c>
      <c r="Q30" s="11" t="str">
        <f>VLOOKUP(Sales_Raw!$E30,ProductsMasterTable[#All],3,FALSE)</f>
        <v>Personal Care</v>
      </c>
      <c r="R30" s="11" t="str">
        <f>VLOOKUP(Sales_Raw!$E30,ProductsMasterTable[#All],4,FALSE)</f>
        <v>Cavin's</v>
      </c>
      <c r="S30" s="11">
        <f>VLOOKUP(Sales_Raw!$E30,ProductsMasterTable[#All],5,FALSE)</f>
        <v>124.48</v>
      </c>
      <c r="T30" s="11">
        <f>VLOOKUP(Sales_Raw!$E30,ProductsMasterTable[#All],6,FALSE)</f>
        <v>146.47999999999999</v>
      </c>
      <c r="U30" s="11" t="str">
        <f>VLOOKUP(Sales_Raw!$E30,ProductsMasterTable[#All],7,FALSE)</f>
        <v>Sri Ganesh Agencies</v>
      </c>
      <c r="V30" s="11" t="str">
        <f>IFERROR(VLOOKUP(Sales_Raw!$D30,CustomersMasterTable[#All],2,FALSE),"Guest")</f>
        <v>Priya Raj</v>
      </c>
      <c r="W30" s="11" t="str">
        <f>IFERROR(VLOOKUP(Sales_Raw!$D30,CustomersMasterTable[#All],3,FALSE),"Guest")</f>
        <v>Female</v>
      </c>
      <c r="X30" s="11">
        <f>IFERROR(VLOOKUP(Sales_Raw!$D30,CustomersMasterTable[#All],4,FALSE),"Guest")</f>
        <v>28</v>
      </c>
      <c r="Y30" s="11" t="str">
        <f>IFERROR(VLOOKUP(Sales_Raw!$D30,CustomersMasterTable[#All],5,FALSE),"Guest")</f>
        <v>Coimbatore</v>
      </c>
      <c r="Z30" s="11" t="str">
        <f>IFERROR(VLOOKUP(Sales_Raw!$D30,CustomersMasterTable[#All],6,FALSE),"Guest")</f>
        <v>Regular</v>
      </c>
      <c r="AA30" s="17">
        <f>IFERROR(VLOOKUP(Sales_Raw!$D30,CustomersMasterTable[#All],7,FALSE),"Guest")</f>
        <v>45927</v>
      </c>
      <c r="AB30" s="23">
        <f>Master_Data[[#This Row],[Qty]]*Master_Data[[#This Row],[Unit_Price]]</f>
        <v>681.2</v>
      </c>
      <c r="AC30" s="23">
        <f>Master_Data[[#This Row],[Gross_ Sales]]*(1-Master_Data[[#This Row],[Discount Percentage]])</f>
        <v>681.2</v>
      </c>
      <c r="AD30" s="23">
        <f>Master_Data[[#This Row],[Net_Sales]]-(Master_Data[[#This Row],[Qty]]*Master_Data[[#This Row],[Cost_Price]])</f>
        <v>58.800000000000068</v>
      </c>
    </row>
    <row r="31" spans="1:30" ht="15">
      <c r="A31" s="13" t="s">
        <v>122</v>
      </c>
      <c r="B31" s="28">
        <f>DATEVALUE(Master_Data[[#This Row],[Sale_Date]])</f>
        <v>46243</v>
      </c>
      <c r="C31" s="13" t="s">
        <v>123</v>
      </c>
      <c r="D31" s="13" t="s">
        <v>12</v>
      </c>
      <c r="E31" s="13" t="str">
        <f>UPPER(TRIM(Sales_Raw!$F31))</f>
        <v>P1028</v>
      </c>
      <c r="F31" s="13" t="s">
        <v>124</v>
      </c>
      <c r="G31" s="13">
        <v>4</v>
      </c>
      <c r="H31" s="14">
        <v>48.81</v>
      </c>
      <c r="I31" s="15">
        <v>0</v>
      </c>
      <c r="J31" s="13" t="str">
        <f>UPPER(TRIM(Sales_Raw!$K31))</f>
        <v>CARD</v>
      </c>
      <c r="K31" s="13" t="s">
        <v>34</v>
      </c>
      <c r="L31" s="13" t="str">
        <f>PROPER(TRIM(Sales_Raw!$M31))</f>
        <v>Hasthampatti</v>
      </c>
      <c r="M31" s="13" t="s">
        <v>23</v>
      </c>
      <c r="N31" s="12" t="s">
        <v>35</v>
      </c>
      <c r="O31" s="13" t="s">
        <v>25</v>
      </c>
      <c r="P31" s="16" t="str">
        <f>VLOOKUP(Sales_Raw!$E31,ProductsMasterTable[#All],2,FALSE)</f>
        <v>Floor Cleaner 1L</v>
      </c>
      <c r="Q31" s="16" t="str">
        <f>VLOOKUP(Sales_Raw!$E31,ProductsMasterTable[#All],3,FALSE)</f>
        <v>Household</v>
      </c>
      <c r="R31" s="16" t="str">
        <f>VLOOKUP(Sales_Raw!$E31,ProductsMasterTable[#All],4,FALSE)</f>
        <v>LocalFresh</v>
      </c>
      <c r="S31" s="16">
        <f>VLOOKUP(Sales_Raw!$E31,ProductsMasterTable[#All],5,FALSE)</f>
        <v>43.54</v>
      </c>
      <c r="T31" s="16">
        <f>VLOOKUP(Sales_Raw!$E31,ProductsMasterTable[#All],6,FALSE)</f>
        <v>52.59</v>
      </c>
      <c r="U31" s="16" t="str">
        <f>VLOOKUP(Sales_Raw!$E31,ProductsMasterTable[#All],7,FALSE)</f>
        <v>Sri Ganesh Agencies</v>
      </c>
      <c r="V31" s="16" t="str">
        <f>IFERROR(VLOOKUP(Sales_Raw!$D31,CustomersMasterTable[#All],2,FALSE),"Guest")</f>
        <v>Divya R</v>
      </c>
      <c r="W31" s="16" t="str">
        <f>IFERROR(VLOOKUP(Sales_Raw!$D31,CustomersMasterTable[#All],3,FALSE),"Guest")</f>
        <v>Female</v>
      </c>
      <c r="X31" s="16">
        <f>IFERROR(VLOOKUP(Sales_Raw!$D31,CustomersMasterTable[#All],4,FALSE),"Guest")</f>
        <v>20</v>
      </c>
      <c r="Y31" s="16" t="str">
        <f>IFERROR(VLOOKUP(Sales_Raw!$D31,CustomersMasterTable[#All],5,FALSE),"Guest")</f>
        <v>Coimbatore</v>
      </c>
      <c r="Z31" s="16" t="str">
        <f>IFERROR(VLOOKUP(Sales_Raw!$D31,CustomersMasterTable[#All],6,FALSE),"Guest")</f>
        <v>Regular</v>
      </c>
      <c r="AA31" s="18">
        <f>IFERROR(VLOOKUP(Sales_Raw!$D31,CustomersMasterTable[#All],7,FALSE),"Guest")</f>
        <v>46129</v>
      </c>
      <c r="AB31" s="23">
        <f>Master_Data[[#This Row],[Qty]]*Master_Data[[#This Row],[Unit_Price]]</f>
        <v>195.24</v>
      </c>
      <c r="AC31" s="23">
        <f>Master_Data[[#This Row],[Gross_ Sales]]*(1-Master_Data[[#This Row],[Discount Percentage]])</f>
        <v>195.24</v>
      </c>
      <c r="AD31" s="23">
        <f>Master_Data[[#This Row],[Net_Sales]]-(Master_Data[[#This Row],[Qty]]*Master_Data[[#This Row],[Cost_Price]])</f>
        <v>21.080000000000013</v>
      </c>
    </row>
    <row r="32" spans="1:30" ht="15">
      <c r="A32" s="8" t="s">
        <v>125</v>
      </c>
      <c r="B32" s="27">
        <f>DATEVALUE(Master_Data[[#This Row],[Sale_Date]])</f>
        <v>46265</v>
      </c>
      <c r="C32" s="8" t="s">
        <v>126</v>
      </c>
      <c r="D32" s="8" t="s">
        <v>107</v>
      </c>
      <c r="E32" s="8" t="str">
        <f>UPPER(TRIM(Sales_Raw!$F32))</f>
        <v>P1011</v>
      </c>
      <c r="F32" s="8" t="s">
        <v>57</v>
      </c>
      <c r="G32" s="8">
        <v>2</v>
      </c>
      <c r="H32" s="9">
        <v>492.56</v>
      </c>
      <c r="I32" s="10">
        <v>0</v>
      </c>
      <c r="J32" s="8" t="str">
        <f>UPPER(TRIM(Sales_Raw!$K32))</f>
        <v>CASH</v>
      </c>
      <c r="K32" s="8" t="s">
        <v>14</v>
      </c>
      <c r="L32" s="8" t="str">
        <f>PROPER(TRIM(Sales_Raw!$M32))</f>
        <v>Fairlands</v>
      </c>
      <c r="M32" s="8" t="s">
        <v>127</v>
      </c>
      <c r="N32" s="7" t="s">
        <v>53</v>
      </c>
      <c r="O32" s="8" t="s">
        <v>17</v>
      </c>
      <c r="P32" s="11" t="str">
        <f>VLOOKUP(Sales_Raw!$E32,ProductsMasterTable[#All],2,FALSE)</f>
        <v>Cheese Slices</v>
      </c>
      <c r="Q32" s="11" t="str">
        <f>VLOOKUP(Sales_Raw!$E32,ProductsMasterTable[#All],3,FALSE)</f>
        <v>Dairy</v>
      </c>
      <c r="R32" s="11" t="str">
        <f>VLOOKUP(Sales_Raw!$E32,ProductsMasterTable[#All],4,FALSE)</f>
        <v>Cavin's</v>
      </c>
      <c r="S32" s="11">
        <f>VLOOKUP(Sales_Raw!$E32,ProductsMasterTable[#All],5,FALSE)</f>
        <v>409.19</v>
      </c>
      <c r="T32" s="11">
        <f>VLOOKUP(Sales_Raw!$E32,ProductsMasterTable[#All],6,FALSE)</f>
        <v>493.92</v>
      </c>
      <c r="U32" s="11" t="str">
        <f>VLOOKUP(Sales_Raw!$E32,ProductsMasterTable[#All],7,FALSE)</f>
        <v>Metro Supply Co</v>
      </c>
      <c r="V32" s="11" t="str">
        <f>IFERROR(VLOOKUP(Sales_Raw!$D32,CustomersMasterTable[#All],2,FALSE),"Guest")</f>
        <v>Meena M</v>
      </c>
      <c r="W32" s="11" t="str">
        <f>IFERROR(VLOOKUP(Sales_Raw!$D32,CustomersMasterTable[#All],3,FALSE),"Guest")</f>
        <v>Female</v>
      </c>
      <c r="X32" s="11">
        <f>IFERROR(VLOOKUP(Sales_Raw!$D32,CustomersMasterTable[#All],4,FALSE),"Guest")</f>
        <v>36</v>
      </c>
      <c r="Y32" s="11" t="str">
        <f>IFERROR(VLOOKUP(Sales_Raw!$D32,CustomersMasterTable[#All],5,FALSE),"Guest")</f>
        <v>Erode</v>
      </c>
      <c r="Z32" s="11" t="str">
        <f>IFERROR(VLOOKUP(Sales_Raw!$D32,CustomersMasterTable[#All],6,FALSE),"Guest")</f>
        <v>Regular</v>
      </c>
      <c r="AA32" s="17">
        <f>IFERROR(VLOOKUP(Sales_Raw!$D32,CustomersMasterTable[#All],7,FALSE),"Guest")</f>
        <v>46214</v>
      </c>
      <c r="AB32" s="23">
        <f>Master_Data[[#This Row],[Qty]]*Master_Data[[#This Row],[Unit_Price]]</f>
        <v>985.12</v>
      </c>
      <c r="AC32" s="23">
        <f>Master_Data[[#This Row],[Gross_ Sales]]*(1-Master_Data[[#This Row],[Discount Percentage]])</f>
        <v>985.12</v>
      </c>
      <c r="AD32" s="23">
        <f>Master_Data[[#This Row],[Net_Sales]]-(Master_Data[[#This Row],[Qty]]*Master_Data[[#This Row],[Cost_Price]])</f>
        <v>166.74</v>
      </c>
    </row>
    <row r="33" spans="1:30" ht="15">
      <c r="A33" s="13" t="s">
        <v>128</v>
      </c>
      <c r="B33" s="28">
        <f>DATEVALUE(Master_Data[[#This Row],[Sale_Date]])</f>
        <v>46260</v>
      </c>
      <c r="C33" s="13" t="s">
        <v>129</v>
      </c>
      <c r="D33" s="13" t="s">
        <v>44</v>
      </c>
      <c r="E33" s="13" t="str">
        <f>UPPER(TRIM(Sales_Raw!$F33))</f>
        <v>P1003</v>
      </c>
      <c r="F33" s="13" t="s">
        <v>59</v>
      </c>
      <c r="G33" s="13">
        <v>5</v>
      </c>
      <c r="H33" s="14">
        <v>279.36</v>
      </c>
      <c r="I33" s="15">
        <v>0</v>
      </c>
      <c r="J33" s="13" t="str">
        <f>UPPER(TRIM(Sales_Raw!$K33))</f>
        <v>UPI</v>
      </c>
      <c r="K33" s="13" t="s">
        <v>22</v>
      </c>
      <c r="L33" s="13" t="str">
        <f>PROPER(TRIM(Sales_Raw!$M33))</f>
        <v>Fairlands</v>
      </c>
      <c r="M33" s="13" t="s">
        <v>15</v>
      </c>
      <c r="N33" s="12" t="s">
        <v>41</v>
      </c>
      <c r="O33" s="13" t="s">
        <v>54</v>
      </c>
      <c r="P33" s="16" t="str">
        <f>VLOOKUP(Sales_Raw!$E33,ProductsMasterTable[#All],2,FALSE)</f>
        <v>Toor Dal 1kg</v>
      </c>
      <c r="Q33" s="16" t="str">
        <f>VLOOKUP(Sales_Raw!$E33,ProductsMasterTable[#All],3,FALSE)</f>
        <v>Staples</v>
      </c>
      <c r="R33" s="16" t="str">
        <f>VLOOKUP(Sales_Raw!$E33,ProductsMasterTable[#All],4,FALSE)</f>
        <v>Aavin</v>
      </c>
      <c r="S33" s="16">
        <f>VLOOKUP(Sales_Raw!$E33,ProductsMasterTable[#All],5,FALSE)</f>
        <v>255.38</v>
      </c>
      <c r="T33" s="16">
        <f>VLOOKUP(Sales_Raw!$E33,ProductsMasterTable[#All],6,FALSE)</f>
        <v>287.89</v>
      </c>
      <c r="U33" s="16" t="str">
        <f>VLOOKUP(Sales_Raw!$E33,ProductsMasterTable[#All],7,FALSE)</f>
        <v>Kongu Distributors</v>
      </c>
      <c r="V33" s="16" t="str">
        <f>IFERROR(VLOOKUP(Sales_Raw!$D33,CustomersMasterTable[#All],2,FALSE),"Guest")</f>
        <v>Anitha Shree</v>
      </c>
      <c r="W33" s="16" t="str">
        <f>IFERROR(VLOOKUP(Sales_Raw!$D33,CustomersMasterTable[#All],3,FALSE),"Guest")</f>
        <v>Male</v>
      </c>
      <c r="X33" s="16">
        <f>IFERROR(VLOOKUP(Sales_Raw!$D33,CustomersMasterTable[#All],4,FALSE),"Guest")</f>
        <v>63</v>
      </c>
      <c r="Y33" s="16" t="str">
        <f>IFERROR(VLOOKUP(Sales_Raw!$D33,CustomersMasterTable[#All],5,FALSE),"Guest")</f>
        <v>Namakkal</v>
      </c>
      <c r="Z33" s="16" t="str">
        <f>IFERROR(VLOOKUP(Sales_Raw!$D33,CustomersMasterTable[#All],6,FALSE),"Guest")</f>
        <v>Regular</v>
      </c>
      <c r="AA33" s="18">
        <f>IFERROR(VLOOKUP(Sales_Raw!$D33,CustomersMasterTable[#All],7,FALSE),"Guest")</f>
        <v>45928</v>
      </c>
      <c r="AB33" s="23">
        <f>Master_Data[[#This Row],[Qty]]*Master_Data[[#This Row],[Unit_Price]]</f>
        <v>1396.8000000000002</v>
      </c>
      <c r="AC33" s="23">
        <f>Master_Data[[#This Row],[Gross_ Sales]]*(1-Master_Data[[#This Row],[Discount Percentage]])</f>
        <v>1396.8000000000002</v>
      </c>
      <c r="AD33" s="23">
        <f>Master_Data[[#This Row],[Net_Sales]]-(Master_Data[[#This Row],[Qty]]*Master_Data[[#This Row],[Cost_Price]])</f>
        <v>119.90000000000009</v>
      </c>
    </row>
    <row r="34" spans="1:30" ht="29.25">
      <c r="A34" s="8" t="s">
        <v>130</v>
      </c>
      <c r="B34" s="27">
        <f>DATEVALUE(Master_Data[[#This Row],[Sale_Date]])</f>
        <v>46254</v>
      </c>
      <c r="C34" s="8" t="s">
        <v>120</v>
      </c>
      <c r="D34" s="8" t="s">
        <v>105</v>
      </c>
      <c r="E34" s="8" t="str">
        <f>UPPER(TRIM(Sales_Raw!$F34))</f>
        <v>P1008</v>
      </c>
      <c r="F34" s="8" t="s">
        <v>13</v>
      </c>
      <c r="G34" s="8">
        <v>1</v>
      </c>
      <c r="H34" s="9">
        <v>465.27</v>
      </c>
      <c r="I34" s="10">
        <v>0.05</v>
      </c>
      <c r="J34" s="8" t="str">
        <f>UPPER(TRIM(Sales_Raw!$K34))</f>
        <v>CARD</v>
      </c>
      <c r="K34" s="8" t="s">
        <v>34</v>
      </c>
      <c r="L34" s="8" t="str">
        <f>PROPER(TRIM(Sales_Raw!$M34))</f>
        <v>Suramangalam</v>
      </c>
      <c r="M34" s="8" t="s">
        <v>40</v>
      </c>
      <c r="N34" s="7" t="s">
        <v>41</v>
      </c>
      <c r="O34" s="8" t="s">
        <v>17</v>
      </c>
      <c r="P34" s="11" t="str">
        <f>VLOOKUP(Sales_Raw!$E34,ProductsMasterTable[#All],2,FALSE)</f>
        <v>Curd 500g</v>
      </c>
      <c r="Q34" s="11" t="str">
        <f>VLOOKUP(Sales_Raw!$E34,ProductsMasterTable[#All],3,FALSE)</f>
        <v>Dairy</v>
      </c>
      <c r="R34" s="11" t="str">
        <f>VLOOKUP(Sales_Raw!$E34,ProductsMasterTable[#All],4,FALSE)</f>
        <v>Aavin</v>
      </c>
      <c r="S34" s="11">
        <f>VLOOKUP(Sales_Raw!$E34,ProductsMasterTable[#All],5,FALSE)</f>
        <v>402.8</v>
      </c>
      <c r="T34" s="11">
        <f>VLOOKUP(Sales_Raw!$E34,ProductsMasterTable[#All],6,FALSE)</f>
        <v>482.32</v>
      </c>
      <c r="U34" s="11" t="str">
        <f>VLOOKUP(Sales_Raw!$E34,ProductsMasterTable[#All],7,FALSE)</f>
        <v>FreshLine Traders</v>
      </c>
      <c r="V34" s="11" t="str">
        <f>IFERROR(VLOOKUP(Sales_Raw!$D34,CustomersMasterTable[#All],2,FALSE),"Guest")</f>
        <v>Nithya R</v>
      </c>
      <c r="W34" s="11" t="str">
        <f>IFERROR(VLOOKUP(Sales_Raw!$D34,CustomersMasterTable[#All],3,FALSE),"Guest")</f>
        <v>Male</v>
      </c>
      <c r="X34" s="11">
        <f>IFERROR(VLOOKUP(Sales_Raw!$D34,CustomersMasterTable[#All],4,FALSE),"Guest")</f>
        <v>26</v>
      </c>
      <c r="Y34" s="11" t="str">
        <f>IFERROR(VLOOKUP(Sales_Raw!$D34,CustomersMasterTable[#All],5,FALSE),"Guest")</f>
        <v>Karur</v>
      </c>
      <c r="Z34" s="11" t="str">
        <f>IFERROR(VLOOKUP(Sales_Raw!$D34,CustomersMasterTable[#All],6,FALSE),"Guest")</f>
        <v>Regular</v>
      </c>
      <c r="AA34" s="17">
        <f>IFERROR(VLOOKUP(Sales_Raw!$D34,CustomersMasterTable[#All],7,FALSE),"Guest")</f>
        <v>46220</v>
      </c>
      <c r="AB34" s="23">
        <f>Master_Data[[#This Row],[Qty]]*Master_Data[[#This Row],[Unit_Price]]</f>
        <v>465.27</v>
      </c>
      <c r="AC34" s="23">
        <f>Master_Data[[#This Row],[Gross_ Sales]]*(1-Master_Data[[#This Row],[Discount Percentage]])</f>
        <v>442.00649999999996</v>
      </c>
      <c r="AD34" s="23">
        <f>Master_Data[[#This Row],[Net_Sales]]-(Master_Data[[#This Row],[Qty]]*Master_Data[[#This Row],[Cost_Price]])</f>
        <v>39.206499999999949</v>
      </c>
    </row>
    <row r="35" spans="1:30" ht="29.25">
      <c r="A35" s="13" t="s">
        <v>131</v>
      </c>
      <c r="B35" s="28">
        <f>DATEVALUE(Master_Data[[#This Row],[Sale_Date]])</f>
        <v>46249</v>
      </c>
      <c r="C35" s="13" t="s">
        <v>43</v>
      </c>
      <c r="D35" s="13" t="s">
        <v>62</v>
      </c>
      <c r="E35" s="13" t="str">
        <f>UPPER(TRIM(Sales_Raw!$F35))</f>
        <v>P1017</v>
      </c>
      <c r="F35" s="13" t="s">
        <v>132</v>
      </c>
      <c r="G35" s="13">
        <v>4</v>
      </c>
      <c r="H35" s="14">
        <v>291.36</v>
      </c>
      <c r="I35" s="15">
        <v>0.05</v>
      </c>
      <c r="J35" s="13" t="str">
        <f>UPPER(TRIM(Sales_Raw!$K35))</f>
        <v>CASH</v>
      </c>
      <c r="K35" s="13" t="s">
        <v>14</v>
      </c>
      <c r="L35" s="13" t="str">
        <f>PROPER(TRIM(Sales_Raw!$M35))</f>
        <v>Suramangalam</v>
      </c>
      <c r="M35" s="13" t="s">
        <v>40</v>
      </c>
      <c r="N35" s="12" t="s">
        <v>35</v>
      </c>
      <c r="O35" s="13" t="s">
        <v>65</v>
      </c>
      <c r="P35" s="16" t="str">
        <f>VLOOKUP(Sales_Raw!$E35,ProductsMasterTable[#All],2,FALSE)</f>
        <v>Mineral Water 1L</v>
      </c>
      <c r="Q35" s="16" t="str">
        <f>VLOOKUP(Sales_Raw!$E35,ProductsMasterTable[#All],3,FALSE)</f>
        <v>Beverages</v>
      </c>
      <c r="R35" s="16" t="str">
        <f>VLOOKUP(Sales_Raw!$E35,ProductsMasterTable[#All],4,FALSE)</f>
        <v>Tata</v>
      </c>
      <c r="S35" s="16">
        <f>VLOOKUP(Sales_Raw!$E35,ProductsMasterTable[#All],5,FALSE)</f>
        <v>262.87</v>
      </c>
      <c r="T35" s="16">
        <f>VLOOKUP(Sales_Raw!$E35,ProductsMasterTable[#All],6,FALSE)</f>
        <v>304.76</v>
      </c>
      <c r="U35" s="16" t="str">
        <f>VLOOKUP(Sales_Raw!$E35,ProductsMasterTable[#All],7,FALSE)</f>
        <v>Kongu Distributors</v>
      </c>
      <c r="V35" s="16" t="str">
        <f>IFERROR(VLOOKUP(Sales_Raw!$D35,CustomersMasterTable[#All],2,FALSE),"Guest")</f>
        <v>Divya Shree</v>
      </c>
      <c r="W35" s="16" t="str">
        <f>IFERROR(VLOOKUP(Sales_Raw!$D35,CustomersMasterTable[#All],3,FALSE),"Guest")</f>
        <v>Female</v>
      </c>
      <c r="X35" s="16">
        <f>IFERROR(VLOOKUP(Sales_Raw!$D35,CustomersMasterTable[#All],4,FALSE),"Guest")</f>
        <v>43</v>
      </c>
      <c r="Y35" s="16" t="str">
        <f>IFERROR(VLOOKUP(Sales_Raw!$D35,CustomersMasterTable[#All],5,FALSE),"Guest")</f>
        <v>Dharmapuri</v>
      </c>
      <c r="Z35" s="16" t="str">
        <f>IFERROR(VLOOKUP(Sales_Raw!$D35,CustomersMasterTable[#All],6,FALSE),"Guest")</f>
        <v>Silver</v>
      </c>
      <c r="AA35" s="18">
        <f>IFERROR(VLOOKUP(Sales_Raw!$D35,CustomersMasterTable[#All],7,FALSE),"Guest")</f>
        <v>45969</v>
      </c>
      <c r="AB35" s="23">
        <f>Master_Data[[#This Row],[Qty]]*Master_Data[[#This Row],[Unit_Price]]</f>
        <v>1165.44</v>
      </c>
      <c r="AC35" s="23">
        <f>Master_Data[[#This Row],[Gross_ Sales]]*(1-Master_Data[[#This Row],[Discount Percentage]])</f>
        <v>1107.1679999999999</v>
      </c>
      <c r="AD35" s="23">
        <f>Master_Data[[#This Row],[Net_Sales]]-(Master_Data[[#This Row],[Qty]]*Master_Data[[#This Row],[Cost_Price]])</f>
        <v>55.687999999999874</v>
      </c>
    </row>
    <row r="36" spans="1:30" ht="15">
      <c r="A36" s="8" t="s">
        <v>133</v>
      </c>
      <c r="B36" s="27">
        <f>DATEVALUE(Master_Data[[#This Row],[Sale_Date]])</f>
        <v>46254</v>
      </c>
      <c r="C36" s="8" t="s">
        <v>120</v>
      </c>
      <c r="D36" s="8" t="s">
        <v>134</v>
      </c>
      <c r="E36" s="8" t="str">
        <f>UPPER(TRIM(Sales_Raw!$F36))</f>
        <v>P1020</v>
      </c>
      <c r="F36" s="8" t="s">
        <v>135</v>
      </c>
      <c r="G36" s="8">
        <v>1</v>
      </c>
      <c r="H36" s="9">
        <v>440.47</v>
      </c>
      <c r="I36" s="10">
        <v>0.15</v>
      </c>
      <c r="J36" s="8" t="str">
        <f>UPPER(TRIM(Sales_Raw!$K36))</f>
        <v>UPI</v>
      </c>
      <c r="K36" s="8" t="s">
        <v>22</v>
      </c>
      <c r="L36" s="8" t="str">
        <f>PROPER(TRIM(Sales_Raw!$M36))</f>
        <v>Fairlands</v>
      </c>
      <c r="M36" s="8" t="s">
        <v>15</v>
      </c>
      <c r="N36" s="7" t="s">
        <v>24</v>
      </c>
      <c r="O36" s="8" t="s">
        <v>65</v>
      </c>
      <c r="P36" s="11" t="str">
        <f>VLOOKUP(Sales_Raw!$E36,ProductsMasterTable[#All],2,FALSE)</f>
        <v>Tea 250g</v>
      </c>
      <c r="Q36" s="11" t="str">
        <f>VLOOKUP(Sales_Raw!$E36,ProductsMasterTable[#All],3,FALSE)</f>
        <v>Beverages</v>
      </c>
      <c r="R36" s="11" t="str">
        <f>VLOOKUP(Sales_Raw!$E36,ProductsMasterTable[#All],4,FALSE)</f>
        <v>ITC</v>
      </c>
      <c r="S36" s="11">
        <f>VLOOKUP(Sales_Raw!$E36,ProductsMasterTable[#All],5,FALSE)</f>
        <v>348.36</v>
      </c>
      <c r="T36" s="11">
        <f>VLOOKUP(Sales_Raw!$E36,ProductsMasterTable[#All],6,FALSE)</f>
        <v>454.67</v>
      </c>
      <c r="U36" s="11" t="str">
        <f>VLOOKUP(Sales_Raw!$E36,ProductsMasterTable[#All],7,FALSE)</f>
        <v>Metro Supply Co</v>
      </c>
      <c r="V36" s="11" t="str">
        <f>IFERROR(VLOOKUP(Sales_Raw!$D36,CustomersMasterTable[#All],2,FALSE),"Guest")</f>
        <v>Kavin Raj</v>
      </c>
      <c r="W36" s="11" t="str">
        <f>IFERROR(VLOOKUP(Sales_Raw!$D36,CustomersMasterTable[#All],3,FALSE),"Guest")</f>
        <v>Female</v>
      </c>
      <c r="X36" s="11">
        <f>IFERROR(VLOOKUP(Sales_Raw!$D36,CustomersMasterTable[#All],4,FALSE),"Guest")</f>
        <v>68</v>
      </c>
      <c r="Y36" s="11" t="str">
        <f>IFERROR(VLOOKUP(Sales_Raw!$D36,CustomersMasterTable[#All],5,FALSE),"Guest")</f>
        <v>Salem</v>
      </c>
      <c r="Z36" s="11" t="str">
        <f>IFERROR(VLOOKUP(Sales_Raw!$D36,CustomersMasterTable[#All],6,FALSE),"Guest")</f>
        <v>Gold</v>
      </c>
      <c r="AA36" s="17">
        <f>IFERROR(VLOOKUP(Sales_Raw!$D36,CustomersMasterTable[#All],7,FALSE),"Guest")</f>
        <v>45873</v>
      </c>
      <c r="AB36" s="23">
        <f>Master_Data[[#This Row],[Qty]]*Master_Data[[#This Row],[Unit_Price]]</f>
        <v>440.47</v>
      </c>
      <c r="AC36" s="23">
        <f>Master_Data[[#This Row],[Gross_ Sales]]*(1-Master_Data[[#This Row],[Discount Percentage]])</f>
        <v>374.39949999999999</v>
      </c>
      <c r="AD36" s="23">
        <f>Master_Data[[#This Row],[Net_Sales]]-(Master_Data[[#This Row],[Qty]]*Master_Data[[#This Row],[Cost_Price]])</f>
        <v>26.039499999999975</v>
      </c>
    </row>
    <row r="37" spans="1:30" ht="15">
      <c r="A37" s="13" t="s">
        <v>136</v>
      </c>
      <c r="B37" s="28">
        <f>DATEVALUE(Master_Data[[#This Row],[Sale_Date]])</f>
        <v>46251</v>
      </c>
      <c r="C37" s="13" t="s">
        <v>56</v>
      </c>
      <c r="D37" s="13" t="s">
        <v>51</v>
      </c>
      <c r="E37" s="13" t="str">
        <f>UPPER(TRIM(Sales_Raw!$F37))</f>
        <v>P1003</v>
      </c>
      <c r="F37" s="13" t="s">
        <v>59</v>
      </c>
      <c r="G37" s="13">
        <v>2</v>
      </c>
      <c r="H37" s="14">
        <v>270.38</v>
      </c>
      <c r="I37" s="15">
        <v>0.1</v>
      </c>
      <c r="J37" s="13" t="str">
        <f>UPPER(TRIM(Sales_Raw!$K37))</f>
        <v>UPI</v>
      </c>
      <c r="K37" s="13" t="s">
        <v>22</v>
      </c>
      <c r="L37" s="13" t="str">
        <f>PROPER(TRIM(Sales_Raw!$M37))</f>
        <v>Fairlands</v>
      </c>
      <c r="M37" s="13" t="s">
        <v>15</v>
      </c>
      <c r="N37" s="12" t="s">
        <v>53</v>
      </c>
      <c r="O37" s="13" t="s">
        <v>54</v>
      </c>
      <c r="P37" s="16" t="str">
        <f>VLOOKUP(Sales_Raw!$E37,ProductsMasterTable[#All],2,FALSE)</f>
        <v>Toor Dal 1kg</v>
      </c>
      <c r="Q37" s="16" t="str">
        <f>VLOOKUP(Sales_Raw!$E37,ProductsMasterTable[#All],3,FALSE)</f>
        <v>Staples</v>
      </c>
      <c r="R37" s="16" t="str">
        <f>VLOOKUP(Sales_Raw!$E37,ProductsMasterTable[#All],4,FALSE)</f>
        <v>Aavin</v>
      </c>
      <c r="S37" s="16">
        <f>VLOOKUP(Sales_Raw!$E37,ProductsMasterTable[#All],5,FALSE)</f>
        <v>255.38</v>
      </c>
      <c r="T37" s="16">
        <f>VLOOKUP(Sales_Raw!$E37,ProductsMasterTable[#All],6,FALSE)</f>
        <v>287.89</v>
      </c>
      <c r="U37" s="16" t="str">
        <f>VLOOKUP(Sales_Raw!$E37,ProductsMasterTable[#All],7,FALSE)</f>
        <v>Kongu Distributors</v>
      </c>
      <c r="V37" s="16" t="str">
        <f>IFERROR(VLOOKUP(Sales_Raw!$D37,CustomersMasterTable[#All],2,FALSE),"Guest")</f>
        <v>Harish Raj</v>
      </c>
      <c r="W37" s="16" t="str">
        <f>IFERROR(VLOOKUP(Sales_Raw!$D37,CustomersMasterTable[#All],3,FALSE),"Guest")</f>
        <v>Male</v>
      </c>
      <c r="X37" s="16">
        <f>IFERROR(VLOOKUP(Sales_Raw!$D37,CustomersMasterTable[#All],4,FALSE),"Guest")</f>
        <v>67</v>
      </c>
      <c r="Y37" s="16" t="str">
        <f>IFERROR(VLOOKUP(Sales_Raw!$D37,CustomersMasterTable[#All],5,FALSE),"Guest")</f>
        <v>Namakkal</v>
      </c>
      <c r="Z37" s="16" t="str">
        <f>IFERROR(VLOOKUP(Sales_Raw!$D37,CustomersMasterTable[#All],6,FALSE),"Guest")</f>
        <v>Regular</v>
      </c>
      <c r="AA37" s="18">
        <f>IFERROR(VLOOKUP(Sales_Raw!$D37,CustomersMasterTable[#All],7,FALSE),"Guest")</f>
        <v>46179</v>
      </c>
      <c r="AB37" s="23">
        <f>Master_Data[[#This Row],[Qty]]*Master_Data[[#This Row],[Unit_Price]]</f>
        <v>540.76</v>
      </c>
      <c r="AC37" s="23">
        <f>Master_Data[[#This Row],[Gross_ Sales]]*(1-Master_Data[[#This Row],[Discount Percentage]])</f>
        <v>486.68400000000003</v>
      </c>
      <c r="AD37" s="23">
        <f>Master_Data[[#This Row],[Net_Sales]]-(Master_Data[[#This Row],[Qty]]*Master_Data[[#This Row],[Cost_Price]])</f>
        <v>-24.075999999999965</v>
      </c>
    </row>
    <row r="38" spans="1:30" ht="15">
      <c r="A38" s="8" t="s">
        <v>137</v>
      </c>
      <c r="B38" s="27">
        <f>DATEVALUE(Master_Data[[#This Row],[Sale_Date]])</f>
        <v>46261</v>
      </c>
      <c r="C38" s="8" t="s">
        <v>32</v>
      </c>
      <c r="D38" s="8" t="s">
        <v>107</v>
      </c>
      <c r="E38" s="8" t="str">
        <f>UPPER(TRIM(Sales_Raw!$F38))</f>
        <v>P1023</v>
      </c>
      <c r="F38" s="8" t="s">
        <v>78</v>
      </c>
      <c r="G38" s="8">
        <v>5</v>
      </c>
      <c r="H38" s="9">
        <v>140.27000000000001</v>
      </c>
      <c r="I38" s="10">
        <v>0</v>
      </c>
      <c r="J38" s="8" t="str">
        <f>UPPER(TRIM(Sales_Raw!$K38))</f>
        <v>UPI</v>
      </c>
      <c r="K38" s="8" t="s">
        <v>22</v>
      </c>
      <c r="L38" s="8" t="str">
        <f>PROPER(TRIM(Sales_Raw!$M38))</f>
        <v>Hasthampatti</v>
      </c>
      <c r="M38" s="8" t="s">
        <v>23</v>
      </c>
      <c r="N38" s="7" t="s">
        <v>16</v>
      </c>
      <c r="O38" s="8" t="s">
        <v>80</v>
      </c>
      <c r="P38" s="11" t="str">
        <f>VLOOKUP(Sales_Raw!$E38,ProductsMasterTable[#All],2,FALSE)</f>
        <v>Shampoo 180ml</v>
      </c>
      <c r="Q38" s="11" t="str">
        <f>VLOOKUP(Sales_Raw!$E38,ProductsMasterTable[#All],3,FALSE)</f>
        <v>Personal Care</v>
      </c>
      <c r="R38" s="11" t="str">
        <f>VLOOKUP(Sales_Raw!$E38,ProductsMasterTable[#All],4,FALSE)</f>
        <v>Cavin's</v>
      </c>
      <c r="S38" s="11">
        <f>VLOOKUP(Sales_Raw!$E38,ProductsMasterTable[#All],5,FALSE)</f>
        <v>124.48</v>
      </c>
      <c r="T38" s="11">
        <f>VLOOKUP(Sales_Raw!$E38,ProductsMasterTable[#All],6,FALSE)</f>
        <v>146.47999999999999</v>
      </c>
      <c r="U38" s="11" t="str">
        <f>VLOOKUP(Sales_Raw!$E38,ProductsMasterTable[#All],7,FALSE)</f>
        <v>Sri Ganesh Agencies</v>
      </c>
      <c r="V38" s="11" t="str">
        <f>IFERROR(VLOOKUP(Sales_Raw!$D38,CustomersMasterTable[#All],2,FALSE),"Guest")</f>
        <v>Meena M</v>
      </c>
      <c r="W38" s="11" t="str">
        <f>IFERROR(VLOOKUP(Sales_Raw!$D38,CustomersMasterTable[#All],3,FALSE),"Guest")</f>
        <v>Female</v>
      </c>
      <c r="X38" s="11">
        <f>IFERROR(VLOOKUP(Sales_Raw!$D38,CustomersMasterTable[#All],4,FALSE),"Guest")</f>
        <v>36</v>
      </c>
      <c r="Y38" s="11" t="str">
        <f>IFERROR(VLOOKUP(Sales_Raw!$D38,CustomersMasterTable[#All],5,FALSE),"Guest")</f>
        <v>Erode</v>
      </c>
      <c r="Z38" s="11" t="str">
        <f>IFERROR(VLOOKUP(Sales_Raw!$D38,CustomersMasterTable[#All],6,FALSE),"Guest")</f>
        <v>Regular</v>
      </c>
      <c r="AA38" s="17">
        <f>IFERROR(VLOOKUP(Sales_Raw!$D38,CustomersMasterTable[#All],7,FALSE),"Guest")</f>
        <v>46214</v>
      </c>
      <c r="AB38" s="23">
        <f>Master_Data[[#This Row],[Qty]]*Master_Data[[#This Row],[Unit_Price]]</f>
        <v>701.35</v>
      </c>
      <c r="AC38" s="23">
        <f>Master_Data[[#This Row],[Gross_ Sales]]*(1-Master_Data[[#This Row],[Discount Percentage]])</f>
        <v>701.35</v>
      </c>
      <c r="AD38" s="23">
        <f>Master_Data[[#This Row],[Net_Sales]]-(Master_Data[[#This Row],[Qty]]*Master_Data[[#This Row],[Cost_Price]])</f>
        <v>78.950000000000045</v>
      </c>
    </row>
    <row r="39" spans="1:30" ht="29.25">
      <c r="A39" s="13" t="s">
        <v>138</v>
      </c>
      <c r="B39" s="28">
        <f>DATEVALUE(Master_Data[[#This Row],[Sale_Date]])</f>
        <v>46264</v>
      </c>
      <c r="C39" s="13" t="s">
        <v>139</v>
      </c>
      <c r="D39" s="13" t="s">
        <v>28</v>
      </c>
      <c r="E39" s="13" t="str">
        <f>UPPER(TRIM(Sales_Raw!$F39))</f>
        <v>P1022</v>
      </c>
      <c r="F39" s="13" t="s">
        <v>140</v>
      </c>
      <c r="G39" s="13">
        <v>2</v>
      </c>
      <c r="H39" s="14">
        <v>127</v>
      </c>
      <c r="I39" s="15">
        <v>0.15</v>
      </c>
      <c r="J39" s="13" t="str">
        <f>UPPER(TRIM(Sales_Raw!$K39))</f>
        <v>CARD</v>
      </c>
      <c r="K39" s="13" t="s">
        <v>34</v>
      </c>
      <c r="L39" s="13" t="str">
        <f>PROPER(TRIM(Sales_Raw!$M39))</f>
        <v>Suramangalam</v>
      </c>
      <c r="M39" s="13" t="s">
        <v>40</v>
      </c>
      <c r="N39" s="12" t="s">
        <v>24</v>
      </c>
      <c r="O39" s="13" t="s">
        <v>80</v>
      </c>
      <c r="P39" s="16" t="str">
        <f>VLOOKUP(Sales_Raw!$E39,ProductsMasterTable[#All],2,FALSE)</f>
        <v>Bath Soap</v>
      </c>
      <c r="Q39" s="16" t="str">
        <f>VLOOKUP(Sales_Raw!$E39,ProductsMasterTable[#All],3,FALSE)</f>
        <v>Personal Care</v>
      </c>
      <c r="R39" s="16" t="str">
        <f>VLOOKUP(Sales_Raw!$E39,ProductsMasterTable[#All],4,FALSE)</f>
        <v>LocalFresh</v>
      </c>
      <c r="S39" s="16">
        <f>VLOOKUP(Sales_Raw!$E39,ProductsMasterTable[#All],5,FALSE)</f>
        <v>103.48</v>
      </c>
      <c r="T39" s="16">
        <f>VLOOKUP(Sales_Raw!$E39,ProductsMasterTable[#All],6,FALSE)</f>
        <v>127.78</v>
      </c>
      <c r="U39" s="16" t="str">
        <f>VLOOKUP(Sales_Raw!$E39,ProductsMasterTable[#All],7,FALSE)</f>
        <v>Kongu Distributors</v>
      </c>
      <c r="V39" s="16" t="str">
        <f>IFERROR(VLOOKUP(Sales_Raw!$D39,CustomersMasterTable[#All],2,FALSE),"Guest")</f>
        <v>Anitha M</v>
      </c>
      <c r="W39" s="16" t="str">
        <f>IFERROR(VLOOKUP(Sales_Raw!$D39,CustomersMasterTable[#All],3,FALSE),"Guest")</f>
        <v>Male</v>
      </c>
      <c r="X39" s="16">
        <f>IFERROR(VLOOKUP(Sales_Raw!$D39,CustomersMasterTable[#All],4,FALSE),"Guest")</f>
        <v>33</v>
      </c>
      <c r="Y39" s="16" t="str">
        <f>IFERROR(VLOOKUP(Sales_Raw!$D39,CustomersMasterTable[#All],5,FALSE),"Guest")</f>
        <v>Dharmapuri</v>
      </c>
      <c r="Z39" s="16" t="str">
        <f>IFERROR(VLOOKUP(Sales_Raw!$D39,CustomersMasterTable[#All],6,FALSE),"Guest")</f>
        <v>Gold</v>
      </c>
      <c r="AA39" s="18">
        <f>IFERROR(VLOOKUP(Sales_Raw!$D39,CustomersMasterTable[#All],7,FALSE),"Guest")</f>
        <v>45745</v>
      </c>
      <c r="AB39" s="23">
        <f>Master_Data[[#This Row],[Qty]]*Master_Data[[#This Row],[Unit_Price]]</f>
        <v>254</v>
      </c>
      <c r="AC39" s="23">
        <f>Master_Data[[#This Row],[Gross_ Sales]]*(1-Master_Data[[#This Row],[Discount Percentage]])</f>
        <v>215.9</v>
      </c>
      <c r="AD39" s="23">
        <f>Master_Data[[#This Row],[Net_Sales]]-(Master_Data[[#This Row],[Qty]]*Master_Data[[#This Row],[Cost_Price]])</f>
        <v>8.9399999999999977</v>
      </c>
    </row>
    <row r="40" spans="1:30" ht="15">
      <c r="A40" s="8" t="s">
        <v>141</v>
      </c>
      <c r="B40" s="27">
        <f>DATEVALUE(Master_Data[[#This Row],[Sale_Date]])</f>
        <v>46262</v>
      </c>
      <c r="C40" s="8" t="s">
        <v>142</v>
      </c>
      <c r="D40" s="8" t="s">
        <v>143</v>
      </c>
      <c r="E40" s="8" t="str">
        <f>UPPER(TRIM(Sales_Raw!$F40))</f>
        <v>P1018</v>
      </c>
      <c r="F40" s="8" t="s">
        <v>111</v>
      </c>
      <c r="G40" s="8">
        <v>2</v>
      </c>
      <c r="H40" s="9">
        <v>234.15</v>
      </c>
      <c r="I40" s="10">
        <v>0</v>
      </c>
      <c r="J40" s="8" t="str">
        <f>UPPER(TRIM(Sales_Raw!$K40))</f>
        <v>UPI</v>
      </c>
      <c r="K40" s="8" t="s">
        <v>22</v>
      </c>
      <c r="L40" s="8" t="str">
        <f>PROPER(TRIM(Sales_Raw!$M40))</f>
        <v>Fairlands</v>
      </c>
      <c r="M40" s="8" t="s">
        <v>15</v>
      </c>
      <c r="N40" s="7" t="s">
        <v>53</v>
      </c>
      <c r="O40" s="8" t="s">
        <v>65</v>
      </c>
      <c r="P40" s="11" t="str">
        <f>VLOOKUP(Sales_Raw!$E40,ProductsMasterTable[#All],2,FALSE)</f>
        <v>Orange Juice 1L</v>
      </c>
      <c r="Q40" s="11" t="str">
        <f>VLOOKUP(Sales_Raw!$E40,ProductsMasterTable[#All],3,FALSE)</f>
        <v>Beverages</v>
      </c>
      <c r="R40" s="11" t="str">
        <f>VLOOKUP(Sales_Raw!$E40,ProductsMasterTable[#All],4,FALSE)</f>
        <v>Cavin's</v>
      </c>
      <c r="S40" s="11">
        <f>VLOOKUP(Sales_Raw!$E40,ProductsMasterTable[#All],5,FALSE)</f>
        <v>203.83</v>
      </c>
      <c r="T40" s="11">
        <f>VLOOKUP(Sales_Raw!$E40,ProductsMasterTable[#All],6,FALSE)</f>
        <v>240.94</v>
      </c>
      <c r="U40" s="11" t="str">
        <f>VLOOKUP(Sales_Raw!$E40,ProductsMasterTable[#All],7,FALSE)</f>
        <v>Kongu Distributors</v>
      </c>
      <c r="V40" s="11" t="str">
        <f>IFERROR(VLOOKUP(Sales_Raw!$D40,CustomersMasterTable[#All],2,FALSE),"Guest")</f>
        <v>Anitha Selvam</v>
      </c>
      <c r="W40" s="11" t="str">
        <f>IFERROR(VLOOKUP(Sales_Raw!$D40,CustomersMasterTable[#All],3,FALSE),"Guest")</f>
        <v>Female</v>
      </c>
      <c r="X40" s="11">
        <f>IFERROR(VLOOKUP(Sales_Raw!$D40,CustomersMasterTable[#All],4,FALSE),"Guest")</f>
        <v>46</v>
      </c>
      <c r="Y40" s="11" t="str">
        <f>IFERROR(VLOOKUP(Sales_Raw!$D40,CustomersMasterTable[#All],5,FALSE),"Guest")</f>
        <v>Dharmapuri</v>
      </c>
      <c r="Z40" s="11" t="str">
        <f>IFERROR(VLOOKUP(Sales_Raw!$D40,CustomersMasterTable[#All],6,FALSE),"Guest")</f>
        <v>Regular</v>
      </c>
      <c r="AA40" s="17">
        <f>IFERROR(VLOOKUP(Sales_Raw!$D40,CustomersMasterTable[#All],7,FALSE),"Guest")</f>
        <v>45911</v>
      </c>
      <c r="AB40" s="23">
        <f>Master_Data[[#This Row],[Qty]]*Master_Data[[#This Row],[Unit_Price]]</f>
        <v>468.3</v>
      </c>
      <c r="AC40" s="23">
        <f>Master_Data[[#This Row],[Gross_ Sales]]*(1-Master_Data[[#This Row],[Discount Percentage]])</f>
        <v>468.3</v>
      </c>
      <c r="AD40" s="23">
        <f>Master_Data[[#This Row],[Net_Sales]]-(Master_Data[[#This Row],[Qty]]*Master_Data[[#This Row],[Cost_Price]])</f>
        <v>60.639999999999986</v>
      </c>
    </row>
    <row r="41" spans="1:30" ht="15">
      <c r="A41" s="13" t="s">
        <v>144</v>
      </c>
      <c r="B41" s="28">
        <f>DATEVALUE(Master_Data[[#This Row],[Sale_Date]])</f>
        <v>46245</v>
      </c>
      <c r="C41" s="13" t="s">
        <v>145</v>
      </c>
      <c r="D41" s="13" t="s">
        <v>83</v>
      </c>
      <c r="E41" s="13" t="str">
        <f>UPPER(TRIM(Sales_Raw!$F41))</f>
        <v>P1010</v>
      </c>
      <c r="F41" s="13" t="s">
        <v>39</v>
      </c>
      <c r="G41" s="13">
        <v>5</v>
      </c>
      <c r="H41" s="14">
        <v>432.19</v>
      </c>
      <c r="I41" s="15">
        <v>0.1</v>
      </c>
      <c r="J41" s="13" t="str">
        <f>UPPER(TRIM(Sales_Raw!$K41))</f>
        <v>CASH</v>
      </c>
      <c r="K41" s="13" t="s">
        <v>14</v>
      </c>
      <c r="L41" s="13" t="str">
        <f>PROPER(TRIM(Sales_Raw!$M41))</f>
        <v>Hasthampatti</v>
      </c>
      <c r="M41" s="13" t="s">
        <v>23</v>
      </c>
      <c r="N41" s="12" t="s">
        <v>53</v>
      </c>
      <c r="O41" s="13" t="s">
        <v>17</v>
      </c>
      <c r="P41" s="16" t="str">
        <f>VLOOKUP(Sales_Raw!$E41,ProductsMasterTable[#All],2,FALSE)</f>
        <v>Butter 100g</v>
      </c>
      <c r="Q41" s="16" t="str">
        <f>VLOOKUP(Sales_Raw!$E41,ProductsMasterTable[#All],3,FALSE)</f>
        <v>Dairy</v>
      </c>
      <c r="R41" s="16" t="str">
        <f>VLOOKUP(Sales_Raw!$E41,ProductsMasterTable[#All],4,FALSE)</f>
        <v>Cavin's</v>
      </c>
      <c r="S41" s="16">
        <f>VLOOKUP(Sales_Raw!$E41,ProductsMasterTable[#All],5,FALSE)</f>
        <v>342.47</v>
      </c>
      <c r="T41" s="16">
        <f>VLOOKUP(Sales_Raw!$E41,ProductsMasterTable[#All],6,FALSE)</f>
        <v>441.05</v>
      </c>
      <c r="U41" s="16" t="str">
        <f>VLOOKUP(Sales_Raw!$E41,ProductsMasterTable[#All],7,FALSE)</f>
        <v>Salem Wholesale Mart</v>
      </c>
      <c r="V41" s="16" t="str">
        <f>IFERROR(VLOOKUP(Sales_Raw!$D41,CustomersMasterTable[#All],2,FALSE),"Guest")</f>
        <v>Anitha M</v>
      </c>
      <c r="W41" s="16" t="str">
        <f>IFERROR(VLOOKUP(Sales_Raw!$D41,CustomersMasterTable[#All],3,FALSE),"Guest")</f>
        <v>Female</v>
      </c>
      <c r="X41" s="16">
        <f>IFERROR(VLOOKUP(Sales_Raw!$D41,CustomersMasterTable[#All],4,FALSE),"Guest")</f>
        <v>68</v>
      </c>
      <c r="Y41" s="16" t="str">
        <f>IFERROR(VLOOKUP(Sales_Raw!$D41,CustomersMasterTable[#All],5,FALSE),"Guest")</f>
        <v>Dharmapuri</v>
      </c>
      <c r="Z41" s="16" t="str">
        <f>IFERROR(VLOOKUP(Sales_Raw!$D41,CustomersMasterTable[#All],6,FALSE),"Guest")</f>
        <v>Silver</v>
      </c>
      <c r="AA41" s="18">
        <f>IFERROR(VLOOKUP(Sales_Raw!$D41,CustomersMasterTable[#All],7,FALSE),"Guest")</f>
        <v>45987</v>
      </c>
      <c r="AB41" s="23">
        <f>Master_Data[[#This Row],[Qty]]*Master_Data[[#This Row],[Unit_Price]]</f>
        <v>2160.9499999999998</v>
      </c>
      <c r="AC41" s="23">
        <f>Master_Data[[#This Row],[Gross_ Sales]]*(1-Master_Data[[#This Row],[Discount Percentage]])</f>
        <v>1944.8549999999998</v>
      </c>
      <c r="AD41" s="23">
        <f>Master_Data[[#This Row],[Net_Sales]]-(Master_Data[[#This Row],[Qty]]*Master_Data[[#This Row],[Cost_Price]])</f>
        <v>232.50499999999965</v>
      </c>
    </row>
    <row r="42" spans="1:30" ht="29.25">
      <c r="A42" s="8" t="s">
        <v>146</v>
      </c>
      <c r="B42" s="27">
        <f>DATEVALUE(Master_Data[[#This Row],[Sale_Date]])</f>
        <v>46264</v>
      </c>
      <c r="C42" s="8" t="s">
        <v>139</v>
      </c>
      <c r="D42" s="8" t="s">
        <v>147</v>
      </c>
      <c r="E42" s="8" t="str">
        <f>UPPER(TRIM(Sales_Raw!$F42))</f>
        <v>P1010</v>
      </c>
      <c r="F42" s="8" t="s">
        <v>39</v>
      </c>
      <c r="G42" s="8">
        <v>6</v>
      </c>
      <c r="H42" s="9">
        <v>419.97</v>
      </c>
      <c r="I42" s="10">
        <v>0</v>
      </c>
      <c r="J42" s="8" t="str">
        <f>UPPER(TRIM(Sales_Raw!$K42))</f>
        <v>CARD</v>
      </c>
      <c r="K42" s="8" t="s">
        <v>34</v>
      </c>
      <c r="L42" s="8" t="str">
        <f>PROPER(TRIM(Sales_Raw!$M42))</f>
        <v>Suramangalam</v>
      </c>
      <c r="M42" s="8" t="s">
        <v>40</v>
      </c>
      <c r="N42" s="7" t="s">
        <v>35</v>
      </c>
      <c r="O42" s="8" t="s">
        <v>17</v>
      </c>
      <c r="P42" s="11" t="str">
        <f>VLOOKUP(Sales_Raw!$E42,ProductsMasterTable[#All],2,FALSE)</f>
        <v>Butter 100g</v>
      </c>
      <c r="Q42" s="11" t="str">
        <f>VLOOKUP(Sales_Raw!$E42,ProductsMasterTable[#All],3,FALSE)</f>
        <v>Dairy</v>
      </c>
      <c r="R42" s="11" t="str">
        <f>VLOOKUP(Sales_Raw!$E42,ProductsMasterTable[#All],4,FALSE)</f>
        <v>Cavin's</v>
      </c>
      <c r="S42" s="11">
        <f>VLOOKUP(Sales_Raw!$E42,ProductsMasterTable[#All],5,FALSE)</f>
        <v>342.47</v>
      </c>
      <c r="T42" s="11">
        <f>VLOOKUP(Sales_Raw!$E42,ProductsMasterTable[#All],6,FALSE)</f>
        <v>441.05</v>
      </c>
      <c r="U42" s="11" t="str">
        <f>VLOOKUP(Sales_Raw!$E42,ProductsMasterTable[#All],7,FALSE)</f>
        <v>Salem Wholesale Mart</v>
      </c>
      <c r="V42" s="11" t="str">
        <f>IFERROR(VLOOKUP(Sales_Raw!$D42,CustomersMasterTable[#All],2,FALSE),"Guest")</f>
        <v>Divya Shree</v>
      </c>
      <c r="W42" s="11" t="str">
        <f>IFERROR(VLOOKUP(Sales_Raw!$D42,CustomersMasterTable[#All],3,FALSE),"Guest")</f>
        <v>Female</v>
      </c>
      <c r="X42" s="11">
        <f>IFERROR(VLOOKUP(Sales_Raw!$D42,CustomersMasterTable[#All],4,FALSE),"Guest")</f>
        <v>20</v>
      </c>
      <c r="Y42" s="11" t="str">
        <f>IFERROR(VLOOKUP(Sales_Raw!$D42,CustomersMasterTable[#All],5,FALSE),"Guest")</f>
        <v>Salem</v>
      </c>
      <c r="Z42" s="11" t="str">
        <f>IFERROR(VLOOKUP(Sales_Raw!$D42,CustomersMasterTable[#All],6,FALSE),"Guest")</f>
        <v>Silver</v>
      </c>
      <c r="AA42" s="17">
        <f>IFERROR(VLOOKUP(Sales_Raw!$D42,CustomersMasterTable[#All],7,FALSE),"Guest")</f>
        <v>46011</v>
      </c>
      <c r="AB42" s="23">
        <f>Master_Data[[#This Row],[Qty]]*Master_Data[[#This Row],[Unit_Price]]</f>
        <v>2519.8200000000002</v>
      </c>
      <c r="AC42" s="23">
        <f>Master_Data[[#This Row],[Gross_ Sales]]*(1-Master_Data[[#This Row],[Discount Percentage]])</f>
        <v>2519.8200000000002</v>
      </c>
      <c r="AD42" s="23">
        <f>Master_Data[[#This Row],[Net_Sales]]-(Master_Data[[#This Row],[Qty]]*Master_Data[[#This Row],[Cost_Price]])</f>
        <v>465</v>
      </c>
    </row>
    <row r="43" spans="1:30" ht="29.25">
      <c r="A43" s="13" t="s">
        <v>148</v>
      </c>
      <c r="B43" s="28">
        <f>DATEVALUE(Master_Data[[#This Row],[Sale_Date]])</f>
        <v>46263</v>
      </c>
      <c r="C43" s="13" t="s">
        <v>149</v>
      </c>
      <c r="D43" s="13" t="s">
        <v>105</v>
      </c>
      <c r="E43" s="13" t="str">
        <f>UPPER(TRIM(Sales_Raw!$F43))</f>
        <v>P1020</v>
      </c>
      <c r="F43" s="13" t="s">
        <v>73</v>
      </c>
      <c r="G43" s="13">
        <v>1</v>
      </c>
      <c r="H43" s="14">
        <v>450.65</v>
      </c>
      <c r="I43" s="15">
        <v>0.15</v>
      </c>
      <c r="J43" s="13" t="str">
        <f>UPPER(TRIM(Sales_Raw!$K43))</f>
        <v>CASH</v>
      </c>
      <c r="K43" s="13" t="s">
        <v>14</v>
      </c>
      <c r="L43" s="13" t="str">
        <f>PROPER(TRIM(Sales_Raw!$M43))</f>
        <v>Suramangalam</v>
      </c>
      <c r="M43" s="13" t="s">
        <v>40</v>
      </c>
      <c r="N43" s="12" t="s">
        <v>16</v>
      </c>
      <c r="O43" s="13" t="s">
        <v>65</v>
      </c>
      <c r="P43" s="16" t="str">
        <f>VLOOKUP(Sales_Raw!$E43,ProductsMasterTable[#All],2,FALSE)</f>
        <v>Tea 250g</v>
      </c>
      <c r="Q43" s="16" t="str">
        <f>VLOOKUP(Sales_Raw!$E43,ProductsMasterTable[#All],3,FALSE)</f>
        <v>Beverages</v>
      </c>
      <c r="R43" s="16" t="str">
        <f>VLOOKUP(Sales_Raw!$E43,ProductsMasterTable[#All],4,FALSE)</f>
        <v>ITC</v>
      </c>
      <c r="S43" s="16">
        <f>VLOOKUP(Sales_Raw!$E43,ProductsMasterTable[#All],5,FALSE)</f>
        <v>348.36</v>
      </c>
      <c r="T43" s="16">
        <f>VLOOKUP(Sales_Raw!$E43,ProductsMasterTable[#All],6,FALSE)</f>
        <v>454.67</v>
      </c>
      <c r="U43" s="16" t="str">
        <f>VLOOKUP(Sales_Raw!$E43,ProductsMasterTable[#All],7,FALSE)</f>
        <v>Metro Supply Co</v>
      </c>
      <c r="V43" s="16" t="str">
        <f>IFERROR(VLOOKUP(Sales_Raw!$D43,CustomersMasterTable[#All],2,FALSE),"Guest")</f>
        <v>Nithya R</v>
      </c>
      <c r="W43" s="16" t="str">
        <f>IFERROR(VLOOKUP(Sales_Raw!$D43,CustomersMasterTable[#All],3,FALSE),"Guest")</f>
        <v>Male</v>
      </c>
      <c r="X43" s="16">
        <f>IFERROR(VLOOKUP(Sales_Raw!$D43,CustomersMasterTable[#All],4,FALSE),"Guest")</f>
        <v>26</v>
      </c>
      <c r="Y43" s="16" t="str">
        <f>IFERROR(VLOOKUP(Sales_Raw!$D43,CustomersMasterTable[#All],5,FALSE),"Guest")</f>
        <v>Karur</v>
      </c>
      <c r="Z43" s="16" t="str">
        <f>IFERROR(VLOOKUP(Sales_Raw!$D43,CustomersMasterTable[#All],6,FALSE),"Guest")</f>
        <v>Regular</v>
      </c>
      <c r="AA43" s="18">
        <f>IFERROR(VLOOKUP(Sales_Raw!$D43,CustomersMasterTable[#All],7,FALSE),"Guest")</f>
        <v>46220</v>
      </c>
      <c r="AB43" s="23">
        <f>Master_Data[[#This Row],[Qty]]*Master_Data[[#This Row],[Unit_Price]]</f>
        <v>450.65</v>
      </c>
      <c r="AC43" s="23">
        <f>Master_Data[[#This Row],[Gross_ Sales]]*(1-Master_Data[[#This Row],[Discount Percentage]])</f>
        <v>383.05249999999995</v>
      </c>
      <c r="AD43" s="23">
        <f>Master_Data[[#This Row],[Net_Sales]]-(Master_Data[[#This Row],[Qty]]*Master_Data[[#This Row],[Cost_Price]])</f>
        <v>34.692499999999939</v>
      </c>
    </row>
    <row r="44" spans="1:30" ht="15">
      <c r="A44" s="8" t="s">
        <v>150</v>
      </c>
      <c r="B44" s="27">
        <f>DATEVALUE(Master_Data[[#This Row],[Sale_Date]])</f>
        <v>46236</v>
      </c>
      <c r="C44" s="8" t="s">
        <v>151</v>
      </c>
      <c r="D44" s="8" t="s">
        <v>105</v>
      </c>
      <c r="E44" s="8" t="str">
        <f>UPPER(TRIM(Sales_Raw!$F44))</f>
        <v>P1008</v>
      </c>
      <c r="F44" s="8" t="s">
        <v>13</v>
      </c>
      <c r="G44" s="8">
        <v>6</v>
      </c>
      <c r="H44" s="9">
        <v>475.99</v>
      </c>
      <c r="I44" s="10">
        <v>0.1</v>
      </c>
      <c r="J44" s="8" t="str">
        <f>UPPER(TRIM(Sales_Raw!$K44))</f>
        <v>CARD</v>
      </c>
      <c r="K44" s="8" t="s">
        <v>34</v>
      </c>
      <c r="L44" s="8" t="str">
        <f>PROPER(TRIM(Sales_Raw!$M44))</f>
        <v>Fairlands</v>
      </c>
      <c r="M44" s="8" t="s">
        <v>15</v>
      </c>
      <c r="N44" s="7" t="s">
        <v>16</v>
      </c>
      <c r="O44" s="8" t="s">
        <v>17</v>
      </c>
      <c r="P44" s="11" t="str">
        <f>VLOOKUP(Sales_Raw!$E44,ProductsMasterTable[#All],2,FALSE)</f>
        <v>Curd 500g</v>
      </c>
      <c r="Q44" s="11" t="str">
        <f>VLOOKUP(Sales_Raw!$E44,ProductsMasterTable[#All],3,FALSE)</f>
        <v>Dairy</v>
      </c>
      <c r="R44" s="11" t="str">
        <f>VLOOKUP(Sales_Raw!$E44,ProductsMasterTable[#All],4,FALSE)</f>
        <v>Aavin</v>
      </c>
      <c r="S44" s="11">
        <f>VLOOKUP(Sales_Raw!$E44,ProductsMasterTable[#All],5,FALSE)</f>
        <v>402.8</v>
      </c>
      <c r="T44" s="11">
        <f>VLOOKUP(Sales_Raw!$E44,ProductsMasterTable[#All],6,FALSE)</f>
        <v>482.32</v>
      </c>
      <c r="U44" s="11" t="str">
        <f>VLOOKUP(Sales_Raw!$E44,ProductsMasterTable[#All],7,FALSE)</f>
        <v>FreshLine Traders</v>
      </c>
      <c r="V44" s="11" t="str">
        <f>IFERROR(VLOOKUP(Sales_Raw!$D44,CustomersMasterTable[#All],2,FALSE),"Guest")</f>
        <v>Nithya R</v>
      </c>
      <c r="W44" s="11" t="str">
        <f>IFERROR(VLOOKUP(Sales_Raw!$D44,CustomersMasterTable[#All],3,FALSE),"Guest")</f>
        <v>Male</v>
      </c>
      <c r="X44" s="11">
        <f>IFERROR(VLOOKUP(Sales_Raw!$D44,CustomersMasterTable[#All],4,FALSE),"Guest")</f>
        <v>26</v>
      </c>
      <c r="Y44" s="11" t="str">
        <f>IFERROR(VLOOKUP(Sales_Raw!$D44,CustomersMasterTable[#All],5,FALSE),"Guest")</f>
        <v>Karur</v>
      </c>
      <c r="Z44" s="11" t="str">
        <f>IFERROR(VLOOKUP(Sales_Raw!$D44,CustomersMasterTable[#All],6,FALSE),"Guest")</f>
        <v>Regular</v>
      </c>
      <c r="AA44" s="17">
        <f>IFERROR(VLOOKUP(Sales_Raw!$D44,CustomersMasterTable[#All],7,FALSE),"Guest")</f>
        <v>46220</v>
      </c>
      <c r="AB44" s="23">
        <f>Master_Data[[#This Row],[Qty]]*Master_Data[[#This Row],[Unit_Price]]</f>
        <v>2855.94</v>
      </c>
      <c r="AC44" s="23">
        <f>Master_Data[[#This Row],[Gross_ Sales]]*(1-Master_Data[[#This Row],[Discount Percentage]])</f>
        <v>2570.346</v>
      </c>
      <c r="AD44" s="23">
        <f>Master_Data[[#This Row],[Net_Sales]]-(Master_Data[[#This Row],[Qty]]*Master_Data[[#This Row],[Cost_Price]])</f>
        <v>153.54599999999982</v>
      </c>
    </row>
    <row r="45" spans="1:30" ht="15">
      <c r="A45" s="13" t="s">
        <v>152</v>
      </c>
      <c r="B45" s="28">
        <f>DATEVALUE(Master_Data[[#This Row],[Sale_Date]])</f>
        <v>46271</v>
      </c>
      <c r="C45" s="13" t="s">
        <v>50</v>
      </c>
      <c r="D45" s="13" t="s">
        <v>153</v>
      </c>
      <c r="E45" s="13" t="str">
        <f>UPPER(TRIM(Sales_Raw!$F45))</f>
        <v>P1025</v>
      </c>
      <c r="F45" s="13" t="s">
        <v>154</v>
      </c>
      <c r="G45" s="13">
        <v>2</v>
      </c>
      <c r="H45" s="14">
        <v>211.3</v>
      </c>
      <c r="I45" s="15">
        <v>0.15</v>
      </c>
      <c r="J45" s="13" t="str">
        <f>UPPER(TRIM(Sales_Raw!$K45))</f>
        <v>UPI</v>
      </c>
      <c r="K45" s="13" t="s">
        <v>64</v>
      </c>
      <c r="L45" s="13" t="str">
        <f>PROPER(TRIM(Sales_Raw!$M45))</f>
        <v>Hasthampatti</v>
      </c>
      <c r="M45" s="13" t="s">
        <v>23</v>
      </c>
      <c r="N45" s="12" t="s">
        <v>24</v>
      </c>
      <c r="O45" s="13" t="s">
        <v>80</v>
      </c>
      <c r="P45" s="16" t="str">
        <f>VLOOKUP(Sales_Raw!$E45,ProductsMasterTable[#All],2,FALSE)</f>
        <v>Handwash 250ml</v>
      </c>
      <c r="Q45" s="16" t="str">
        <f>VLOOKUP(Sales_Raw!$E45,ProductsMasterTable[#All],3,FALSE)</f>
        <v>Personal Care</v>
      </c>
      <c r="R45" s="16" t="str">
        <f>VLOOKUP(Sales_Raw!$E45,ProductsMasterTable[#All],4,FALSE)</f>
        <v>Britannia</v>
      </c>
      <c r="S45" s="16">
        <f>VLOOKUP(Sales_Raw!$E45,ProductsMasterTable[#All],5,FALSE)</f>
        <v>163.52000000000001</v>
      </c>
      <c r="T45" s="16">
        <f>VLOOKUP(Sales_Raw!$E45,ProductsMasterTable[#All],6,FALSE)</f>
        <v>220.65</v>
      </c>
      <c r="U45" s="16" t="str">
        <f>VLOOKUP(Sales_Raw!$E45,ProductsMasterTable[#All],7,FALSE)</f>
        <v>Sri Ganesh Agencies</v>
      </c>
      <c r="V45" s="16" t="str">
        <f>IFERROR(VLOOKUP(Sales_Raw!$D45,CustomersMasterTable[#All],2,FALSE),"Guest")</f>
        <v>Janani M</v>
      </c>
      <c r="W45" s="16" t="str">
        <f>IFERROR(VLOOKUP(Sales_Raw!$D45,CustomersMasterTable[#All],3,FALSE),"Guest")</f>
        <v>Male</v>
      </c>
      <c r="X45" s="16">
        <f>IFERROR(VLOOKUP(Sales_Raw!$D45,CustomersMasterTable[#All],4,FALSE),"Guest")</f>
        <v>41</v>
      </c>
      <c r="Y45" s="16" t="str">
        <f>IFERROR(VLOOKUP(Sales_Raw!$D45,CustomersMasterTable[#All],5,FALSE),"Guest")</f>
        <v>Erode</v>
      </c>
      <c r="Z45" s="16" t="str">
        <f>IFERROR(VLOOKUP(Sales_Raw!$D45,CustomersMasterTable[#All],6,FALSE),"Guest")</f>
        <v>Regular</v>
      </c>
      <c r="AA45" s="18">
        <f>IFERROR(VLOOKUP(Sales_Raw!$D45,CustomersMasterTable[#All],7,FALSE),"Guest")</f>
        <v>46201</v>
      </c>
      <c r="AB45" s="23">
        <f>Master_Data[[#This Row],[Qty]]*Master_Data[[#This Row],[Unit_Price]]</f>
        <v>422.6</v>
      </c>
      <c r="AC45" s="23">
        <f>Master_Data[[#This Row],[Gross_ Sales]]*(1-Master_Data[[#This Row],[Discount Percentage]])</f>
        <v>359.21000000000004</v>
      </c>
      <c r="AD45" s="23">
        <f>Master_Data[[#This Row],[Net_Sales]]-(Master_Data[[#This Row],[Qty]]*Master_Data[[#This Row],[Cost_Price]])</f>
        <v>32.170000000000016</v>
      </c>
    </row>
    <row r="46" spans="1:30" ht="15">
      <c r="A46" s="8" t="s">
        <v>155</v>
      </c>
      <c r="B46" s="27">
        <f>DATEVALUE(Master_Data[[#This Row],[Sale_Date]])</f>
        <v>46262</v>
      </c>
      <c r="C46" s="8" t="s">
        <v>142</v>
      </c>
      <c r="D46" s="8" t="s">
        <v>12</v>
      </c>
      <c r="E46" s="8" t="str">
        <f>UPPER(TRIM(Sales_Raw!$F46))</f>
        <v>P1027</v>
      </c>
      <c r="F46" s="8" t="s">
        <v>156</v>
      </c>
      <c r="G46" s="8">
        <v>4</v>
      </c>
      <c r="H46" s="9">
        <v>351.02</v>
      </c>
      <c r="I46" s="10">
        <v>0.05</v>
      </c>
      <c r="J46" s="8" t="str">
        <f>UPPER(TRIM(Sales_Raw!$K46))</f>
        <v>CASH</v>
      </c>
      <c r="K46" s="8" t="s">
        <v>14</v>
      </c>
      <c r="L46" s="8" t="str">
        <f>PROPER(TRIM(Sales_Raw!$M46))</f>
        <v>Hasthampatti</v>
      </c>
      <c r="M46" s="8" t="s">
        <v>23</v>
      </c>
      <c r="N46" s="7" t="s">
        <v>16</v>
      </c>
      <c r="O46" s="8" t="s">
        <v>25</v>
      </c>
      <c r="P46" s="11" t="str">
        <f>VLOOKUP(Sales_Raw!$E46,ProductsMasterTable[#All],2,FALSE)</f>
        <v>Detergent 1kg</v>
      </c>
      <c r="Q46" s="11" t="str">
        <f>VLOOKUP(Sales_Raw!$E46,ProductsMasterTable[#All],3,FALSE)</f>
        <v>Household</v>
      </c>
      <c r="R46" s="11" t="str">
        <f>VLOOKUP(Sales_Raw!$E46,ProductsMasterTable[#All],4,FALSE)</f>
        <v>ITC</v>
      </c>
      <c r="S46" s="11">
        <f>VLOOKUP(Sales_Raw!$E46,ProductsMasterTable[#All],5,FALSE)</f>
        <v>270.23</v>
      </c>
      <c r="T46" s="11">
        <f>VLOOKUP(Sales_Raw!$E46,ProductsMasterTable[#All],6,FALSE)</f>
        <v>351.89</v>
      </c>
      <c r="U46" s="11" t="str">
        <f>VLOOKUP(Sales_Raw!$E46,ProductsMasterTable[#All],7,FALSE)</f>
        <v>Sri Ganesh Agencies</v>
      </c>
      <c r="V46" s="11" t="str">
        <f>IFERROR(VLOOKUP(Sales_Raw!$D46,CustomersMasterTable[#All],2,FALSE),"Guest")</f>
        <v>Divya R</v>
      </c>
      <c r="W46" s="11" t="str">
        <f>IFERROR(VLOOKUP(Sales_Raw!$D46,CustomersMasterTable[#All],3,FALSE),"Guest")</f>
        <v>Female</v>
      </c>
      <c r="X46" s="11">
        <f>IFERROR(VLOOKUP(Sales_Raw!$D46,CustomersMasterTable[#All],4,FALSE),"Guest")</f>
        <v>20</v>
      </c>
      <c r="Y46" s="11" t="str">
        <f>IFERROR(VLOOKUP(Sales_Raw!$D46,CustomersMasterTable[#All],5,FALSE),"Guest")</f>
        <v>Coimbatore</v>
      </c>
      <c r="Z46" s="11" t="str">
        <f>IFERROR(VLOOKUP(Sales_Raw!$D46,CustomersMasterTable[#All],6,FALSE),"Guest")</f>
        <v>Regular</v>
      </c>
      <c r="AA46" s="17">
        <f>IFERROR(VLOOKUP(Sales_Raw!$D46,CustomersMasterTable[#All],7,FALSE),"Guest")</f>
        <v>46129</v>
      </c>
      <c r="AB46" s="23">
        <f>Master_Data[[#This Row],[Qty]]*Master_Data[[#This Row],[Unit_Price]]</f>
        <v>1404.08</v>
      </c>
      <c r="AC46" s="23">
        <f>Master_Data[[#This Row],[Gross_ Sales]]*(1-Master_Data[[#This Row],[Discount Percentage]])</f>
        <v>1333.876</v>
      </c>
      <c r="AD46" s="23">
        <f>Master_Data[[#This Row],[Net_Sales]]-(Master_Data[[#This Row],[Qty]]*Master_Data[[#This Row],[Cost_Price]])</f>
        <v>252.9559999999999</v>
      </c>
    </row>
    <row r="47" spans="1:30" ht="15">
      <c r="A47" s="13" t="s">
        <v>157</v>
      </c>
      <c r="B47" s="28">
        <f>DATEVALUE(Master_Data[[#This Row],[Sale_Date]])</f>
        <v>46255</v>
      </c>
      <c r="C47" s="13" t="s">
        <v>158</v>
      </c>
      <c r="D47" s="13" t="s">
        <v>51</v>
      </c>
      <c r="E47" s="13" t="str">
        <f>UPPER(TRIM(Sales_Raw!$F47))</f>
        <v>P1004</v>
      </c>
      <c r="F47" s="13" t="s">
        <v>159</v>
      </c>
      <c r="G47" s="13">
        <v>2</v>
      </c>
      <c r="H47" s="14">
        <v>132.83000000000001</v>
      </c>
      <c r="I47" s="15">
        <v>0.15</v>
      </c>
      <c r="J47" s="13" t="str">
        <f>UPPER(TRIM(Sales_Raw!$K47))</f>
        <v>CASH</v>
      </c>
      <c r="K47" s="13" t="s">
        <v>14</v>
      </c>
      <c r="L47" s="13" t="str">
        <f>PROPER(TRIM(Sales_Raw!$M47))</f>
        <v>Hasthampatti</v>
      </c>
      <c r="M47" s="13" t="s">
        <v>23</v>
      </c>
      <c r="N47" s="12" t="s">
        <v>35</v>
      </c>
      <c r="O47" s="13" t="s">
        <v>54</v>
      </c>
      <c r="P47" s="16" t="str">
        <f>VLOOKUP(Sales_Raw!$E47,ProductsMasterTable[#All],2,FALSE)</f>
        <v>Urad Dal 1kg</v>
      </c>
      <c r="Q47" s="16" t="str">
        <f>VLOOKUP(Sales_Raw!$E47,ProductsMasterTable[#All],3,FALSE)</f>
        <v>Staples</v>
      </c>
      <c r="R47" s="16" t="str">
        <f>VLOOKUP(Sales_Raw!$E47,ProductsMasterTable[#All],4,FALSE)</f>
        <v>Cavin's</v>
      </c>
      <c r="S47" s="16">
        <f>VLOOKUP(Sales_Raw!$E47,ProductsMasterTable[#All],5,FALSE)</f>
        <v>111.53</v>
      </c>
      <c r="T47" s="16">
        <f>VLOOKUP(Sales_Raw!$E47,ProductsMasterTable[#All],6,FALSE)</f>
        <v>140.36000000000001</v>
      </c>
      <c r="U47" s="16" t="str">
        <f>VLOOKUP(Sales_Raw!$E47,ProductsMasterTable[#All],7,FALSE)</f>
        <v>Kongu Distributors</v>
      </c>
      <c r="V47" s="16" t="str">
        <f>IFERROR(VLOOKUP(Sales_Raw!$D47,CustomersMasterTable[#All],2,FALSE),"Guest")</f>
        <v>Harish Raj</v>
      </c>
      <c r="W47" s="16" t="str">
        <f>IFERROR(VLOOKUP(Sales_Raw!$D47,CustomersMasterTable[#All],3,FALSE),"Guest")</f>
        <v>Male</v>
      </c>
      <c r="X47" s="16">
        <f>IFERROR(VLOOKUP(Sales_Raw!$D47,CustomersMasterTable[#All],4,FALSE),"Guest")</f>
        <v>67</v>
      </c>
      <c r="Y47" s="16" t="str">
        <f>IFERROR(VLOOKUP(Sales_Raw!$D47,CustomersMasterTable[#All],5,FALSE),"Guest")</f>
        <v>Namakkal</v>
      </c>
      <c r="Z47" s="16" t="str">
        <f>IFERROR(VLOOKUP(Sales_Raw!$D47,CustomersMasterTable[#All],6,FALSE),"Guest")</f>
        <v>Regular</v>
      </c>
      <c r="AA47" s="18">
        <f>IFERROR(VLOOKUP(Sales_Raw!$D47,CustomersMasterTable[#All],7,FALSE),"Guest")</f>
        <v>46179</v>
      </c>
      <c r="AB47" s="23">
        <f>Master_Data[[#This Row],[Qty]]*Master_Data[[#This Row],[Unit_Price]]</f>
        <v>265.66000000000003</v>
      </c>
      <c r="AC47" s="23">
        <f>Master_Data[[#This Row],[Gross_ Sales]]*(1-Master_Data[[#This Row],[Discount Percentage]])</f>
        <v>225.81100000000001</v>
      </c>
      <c r="AD47" s="23">
        <f>Master_Data[[#This Row],[Net_Sales]]-(Master_Data[[#This Row],[Qty]]*Master_Data[[#This Row],[Cost_Price]])</f>
        <v>2.7510000000000048</v>
      </c>
    </row>
    <row r="48" spans="1:30" ht="15">
      <c r="A48" s="8" t="s">
        <v>160</v>
      </c>
      <c r="B48" s="27">
        <f>DATEVALUE(Master_Data[[#This Row],[Sale_Date]])</f>
        <v>46270</v>
      </c>
      <c r="C48" s="8" t="s">
        <v>161</v>
      </c>
      <c r="D48" s="8" t="s">
        <v>153</v>
      </c>
      <c r="E48" s="8" t="str">
        <f>UPPER(TRIM(Sales_Raw!$F48))</f>
        <v>P1015</v>
      </c>
      <c r="F48" s="8" t="s">
        <v>48</v>
      </c>
      <c r="G48" s="8">
        <v>1</v>
      </c>
      <c r="H48" s="9">
        <v>155.28</v>
      </c>
      <c r="I48" s="10">
        <v>0</v>
      </c>
      <c r="J48" s="8" t="str">
        <f>UPPER(TRIM(Sales_Raw!$K48))</f>
        <v>UPI</v>
      </c>
      <c r="K48" s="8" t="s">
        <v>22</v>
      </c>
      <c r="L48" s="8" t="str">
        <f>PROPER(TRIM(Sales_Raw!$M48))</f>
        <v>Hasthampatti</v>
      </c>
      <c r="M48" s="8" t="s">
        <v>23</v>
      </c>
      <c r="N48" s="7" t="s">
        <v>41</v>
      </c>
      <c r="O48" s="8" t="s">
        <v>30</v>
      </c>
      <c r="P48" s="11" t="str">
        <f>VLOOKUP(Sales_Raw!$E48,ProductsMasterTable[#All],2,FALSE)</f>
        <v>Biscuits Pack</v>
      </c>
      <c r="Q48" s="11" t="str">
        <f>VLOOKUP(Sales_Raw!$E48,ProductsMasterTable[#All],3,FALSE)</f>
        <v>Snacks</v>
      </c>
      <c r="R48" s="11" t="str">
        <f>VLOOKUP(Sales_Raw!$E48,ProductsMasterTable[#All],4,FALSE)</f>
        <v>HUL</v>
      </c>
      <c r="S48" s="11">
        <f>VLOOKUP(Sales_Raw!$E48,ProductsMasterTable[#All],5,FALSE)</f>
        <v>129.75</v>
      </c>
      <c r="T48" s="11">
        <f>VLOOKUP(Sales_Raw!$E48,ProductsMasterTable[#All],6,FALSE)</f>
        <v>164.29</v>
      </c>
      <c r="U48" s="11" t="str">
        <f>VLOOKUP(Sales_Raw!$E48,ProductsMasterTable[#All],7,FALSE)</f>
        <v>Kongu Distributors</v>
      </c>
      <c r="V48" s="11" t="str">
        <f>IFERROR(VLOOKUP(Sales_Raw!$D48,CustomersMasterTable[#All],2,FALSE),"Guest")</f>
        <v>Janani M</v>
      </c>
      <c r="W48" s="11" t="str">
        <f>IFERROR(VLOOKUP(Sales_Raw!$D48,CustomersMasterTable[#All],3,FALSE),"Guest")</f>
        <v>Male</v>
      </c>
      <c r="X48" s="11">
        <f>IFERROR(VLOOKUP(Sales_Raw!$D48,CustomersMasterTable[#All],4,FALSE),"Guest")</f>
        <v>41</v>
      </c>
      <c r="Y48" s="11" t="str">
        <f>IFERROR(VLOOKUP(Sales_Raw!$D48,CustomersMasterTable[#All],5,FALSE),"Guest")</f>
        <v>Erode</v>
      </c>
      <c r="Z48" s="11" t="str">
        <f>IFERROR(VLOOKUP(Sales_Raw!$D48,CustomersMasterTable[#All],6,FALSE),"Guest")</f>
        <v>Regular</v>
      </c>
      <c r="AA48" s="17">
        <f>IFERROR(VLOOKUP(Sales_Raw!$D48,CustomersMasterTable[#All],7,FALSE),"Guest")</f>
        <v>46201</v>
      </c>
      <c r="AB48" s="23">
        <f>Master_Data[[#This Row],[Qty]]*Master_Data[[#This Row],[Unit_Price]]</f>
        <v>155.28</v>
      </c>
      <c r="AC48" s="23">
        <f>Master_Data[[#This Row],[Gross_ Sales]]*(1-Master_Data[[#This Row],[Discount Percentage]])</f>
        <v>155.28</v>
      </c>
      <c r="AD48" s="23">
        <f>Master_Data[[#This Row],[Net_Sales]]-(Master_Data[[#This Row],[Qty]]*Master_Data[[#This Row],[Cost_Price]])</f>
        <v>25.53</v>
      </c>
    </row>
    <row r="49" spans="1:30" ht="29.25">
      <c r="A49" s="13" t="s">
        <v>162</v>
      </c>
      <c r="B49" s="28">
        <f>DATEVALUE(Master_Data[[#This Row],[Sale_Date]])</f>
        <v>46235</v>
      </c>
      <c r="C49" s="13" t="s">
        <v>37</v>
      </c>
      <c r="D49" s="13" t="s">
        <v>51</v>
      </c>
      <c r="E49" s="13" t="str">
        <f>UPPER(TRIM(Sales_Raw!$F49))</f>
        <v>P1028</v>
      </c>
      <c r="F49" s="13" t="s">
        <v>124</v>
      </c>
      <c r="G49" s="13">
        <v>5</v>
      </c>
      <c r="H49" s="14">
        <v>50.33</v>
      </c>
      <c r="I49" s="15">
        <v>0</v>
      </c>
      <c r="J49" s="13" t="str">
        <f>UPPER(TRIM(Sales_Raw!$K49))</f>
        <v>UPI</v>
      </c>
      <c r="K49" s="13" t="s">
        <v>22</v>
      </c>
      <c r="L49" s="13" t="str">
        <f>PROPER(TRIM(Sales_Raw!$M49))</f>
        <v>Suramangalam</v>
      </c>
      <c r="M49" s="13" t="s">
        <v>40</v>
      </c>
      <c r="N49" s="12" t="s">
        <v>16</v>
      </c>
      <c r="O49" s="13" t="s">
        <v>25</v>
      </c>
      <c r="P49" s="16" t="str">
        <f>VLOOKUP(Sales_Raw!$E49,ProductsMasterTable[#All],2,FALSE)</f>
        <v>Floor Cleaner 1L</v>
      </c>
      <c r="Q49" s="16" t="str">
        <f>VLOOKUP(Sales_Raw!$E49,ProductsMasterTable[#All],3,FALSE)</f>
        <v>Household</v>
      </c>
      <c r="R49" s="16" t="str">
        <f>VLOOKUP(Sales_Raw!$E49,ProductsMasterTable[#All],4,FALSE)</f>
        <v>LocalFresh</v>
      </c>
      <c r="S49" s="16">
        <f>VLOOKUP(Sales_Raw!$E49,ProductsMasterTable[#All],5,FALSE)</f>
        <v>43.54</v>
      </c>
      <c r="T49" s="16">
        <f>VLOOKUP(Sales_Raw!$E49,ProductsMasterTable[#All],6,FALSE)</f>
        <v>52.59</v>
      </c>
      <c r="U49" s="16" t="str">
        <f>VLOOKUP(Sales_Raw!$E49,ProductsMasterTable[#All],7,FALSE)</f>
        <v>Sri Ganesh Agencies</v>
      </c>
      <c r="V49" s="16" t="str">
        <f>IFERROR(VLOOKUP(Sales_Raw!$D49,CustomersMasterTable[#All],2,FALSE),"Guest")</f>
        <v>Harish Raj</v>
      </c>
      <c r="W49" s="16" t="str">
        <f>IFERROR(VLOOKUP(Sales_Raw!$D49,CustomersMasterTable[#All],3,FALSE),"Guest")</f>
        <v>Male</v>
      </c>
      <c r="X49" s="16">
        <f>IFERROR(VLOOKUP(Sales_Raw!$D49,CustomersMasterTable[#All],4,FALSE),"Guest")</f>
        <v>67</v>
      </c>
      <c r="Y49" s="16" t="str">
        <f>IFERROR(VLOOKUP(Sales_Raw!$D49,CustomersMasterTable[#All],5,FALSE),"Guest")</f>
        <v>Namakkal</v>
      </c>
      <c r="Z49" s="16" t="str">
        <f>IFERROR(VLOOKUP(Sales_Raw!$D49,CustomersMasterTable[#All],6,FALSE),"Guest")</f>
        <v>Regular</v>
      </c>
      <c r="AA49" s="18">
        <f>IFERROR(VLOOKUP(Sales_Raw!$D49,CustomersMasterTable[#All],7,FALSE),"Guest")</f>
        <v>46179</v>
      </c>
      <c r="AB49" s="23">
        <f>Master_Data[[#This Row],[Qty]]*Master_Data[[#This Row],[Unit_Price]]</f>
        <v>251.64999999999998</v>
      </c>
      <c r="AC49" s="23">
        <f>Master_Data[[#This Row],[Gross_ Sales]]*(1-Master_Data[[#This Row],[Discount Percentage]])</f>
        <v>251.64999999999998</v>
      </c>
      <c r="AD49" s="23">
        <f>Master_Data[[#This Row],[Net_Sales]]-(Master_Data[[#This Row],[Qty]]*Master_Data[[#This Row],[Cost_Price]])</f>
        <v>33.949999999999989</v>
      </c>
    </row>
    <row r="50" spans="1:30" ht="15">
      <c r="A50" s="8" t="s">
        <v>163</v>
      </c>
      <c r="B50" s="27">
        <f>DATEVALUE(Master_Data[[#This Row],[Sale_Date]])</f>
        <v>46266</v>
      </c>
      <c r="C50" s="8" t="s">
        <v>11</v>
      </c>
      <c r="D50" s="8" t="s">
        <v>12</v>
      </c>
      <c r="E50" s="8" t="str">
        <f>UPPER(TRIM(Sales_Raw!$F50))</f>
        <v>P1015</v>
      </c>
      <c r="F50" s="8" t="s">
        <v>48</v>
      </c>
      <c r="G50" s="8">
        <v>1</v>
      </c>
      <c r="H50" s="9">
        <v>153.82</v>
      </c>
      <c r="I50" s="10">
        <v>0.1</v>
      </c>
      <c r="J50" s="8" t="str">
        <f>UPPER(TRIM(Sales_Raw!$K50))</f>
        <v>UPI</v>
      </c>
      <c r="K50" s="8" t="s">
        <v>22</v>
      </c>
      <c r="L50" s="8" t="str">
        <f>PROPER(TRIM(Sales_Raw!$M50))</f>
        <v>Hasthampatti</v>
      </c>
      <c r="M50" s="8" t="s">
        <v>23</v>
      </c>
      <c r="N50" s="7" t="s">
        <v>35</v>
      </c>
      <c r="O50" s="8" t="s">
        <v>30</v>
      </c>
      <c r="P50" s="11" t="str">
        <f>VLOOKUP(Sales_Raw!$E50,ProductsMasterTable[#All],2,FALSE)</f>
        <v>Biscuits Pack</v>
      </c>
      <c r="Q50" s="11" t="str">
        <f>VLOOKUP(Sales_Raw!$E50,ProductsMasterTable[#All],3,FALSE)</f>
        <v>Snacks</v>
      </c>
      <c r="R50" s="11" t="str">
        <f>VLOOKUP(Sales_Raw!$E50,ProductsMasterTable[#All],4,FALSE)</f>
        <v>HUL</v>
      </c>
      <c r="S50" s="11">
        <f>VLOOKUP(Sales_Raw!$E50,ProductsMasterTable[#All],5,FALSE)</f>
        <v>129.75</v>
      </c>
      <c r="T50" s="11">
        <f>VLOOKUP(Sales_Raw!$E50,ProductsMasterTable[#All],6,FALSE)</f>
        <v>164.29</v>
      </c>
      <c r="U50" s="11" t="str">
        <f>VLOOKUP(Sales_Raw!$E50,ProductsMasterTable[#All],7,FALSE)</f>
        <v>Kongu Distributors</v>
      </c>
      <c r="V50" s="11" t="str">
        <f>IFERROR(VLOOKUP(Sales_Raw!$D50,CustomersMasterTable[#All],2,FALSE),"Guest")</f>
        <v>Divya R</v>
      </c>
      <c r="W50" s="11" t="str">
        <f>IFERROR(VLOOKUP(Sales_Raw!$D50,CustomersMasterTable[#All],3,FALSE),"Guest")</f>
        <v>Female</v>
      </c>
      <c r="X50" s="11">
        <f>IFERROR(VLOOKUP(Sales_Raw!$D50,CustomersMasterTable[#All],4,FALSE),"Guest")</f>
        <v>20</v>
      </c>
      <c r="Y50" s="11" t="str">
        <f>IFERROR(VLOOKUP(Sales_Raw!$D50,CustomersMasterTable[#All],5,FALSE),"Guest")</f>
        <v>Coimbatore</v>
      </c>
      <c r="Z50" s="11" t="str">
        <f>IFERROR(VLOOKUP(Sales_Raw!$D50,CustomersMasterTable[#All],6,FALSE),"Guest")</f>
        <v>Regular</v>
      </c>
      <c r="AA50" s="17">
        <f>IFERROR(VLOOKUP(Sales_Raw!$D50,CustomersMasterTable[#All],7,FALSE),"Guest")</f>
        <v>46129</v>
      </c>
      <c r="AB50" s="23">
        <f>Master_Data[[#This Row],[Qty]]*Master_Data[[#This Row],[Unit_Price]]</f>
        <v>153.82</v>
      </c>
      <c r="AC50" s="23">
        <f>Master_Data[[#This Row],[Gross_ Sales]]*(1-Master_Data[[#This Row],[Discount Percentage]])</f>
        <v>138.43799999999999</v>
      </c>
      <c r="AD50" s="23">
        <f>Master_Data[[#This Row],[Net_Sales]]-(Master_Data[[#This Row],[Qty]]*Master_Data[[#This Row],[Cost_Price]])</f>
        <v>8.6879999999999882</v>
      </c>
    </row>
    <row r="51" spans="1:30" ht="15">
      <c r="A51" s="13" t="s">
        <v>164</v>
      </c>
      <c r="B51" s="28">
        <f>DATEVALUE(Master_Data[[#This Row],[Sale_Date]])</f>
        <v>46266</v>
      </c>
      <c r="C51" s="13" t="s">
        <v>11</v>
      </c>
      <c r="D51" s="13" t="s">
        <v>143</v>
      </c>
      <c r="E51" s="13" t="str">
        <f>UPPER(TRIM(Sales_Raw!$F51))</f>
        <v>P1001</v>
      </c>
      <c r="F51" s="13" t="s">
        <v>52</v>
      </c>
      <c r="G51" s="13">
        <v>6</v>
      </c>
      <c r="H51" s="14">
        <v>299.95</v>
      </c>
      <c r="I51" s="15">
        <v>0</v>
      </c>
      <c r="J51" s="13" t="str">
        <f>UPPER(TRIM(Sales_Raw!$K51))</f>
        <v>CARD</v>
      </c>
      <c r="K51" s="13" t="s">
        <v>34</v>
      </c>
      <c r="L51" s="13" t="str">
        <f>PROPER(TRIM(Sales_Raw!$M51))</f>
        <v>Fairlands</v>
      </c>
      <c r="M51" s="13" t="s">
        <v>15</v>
      </c>
      <c r="N51" s="12" t="s">
        <v>16</v>
      </c>
      <c r="O51" s="13" t="s">
        <v>54</v>
      </c>
      <c r="P51" s="16" t="str">
        <f>VLOOKUP(Sales_Raw!$E51,ProductsMasterTable[#All],2,FALSE)</f>
        <v>Rice 5kg</v>
      </c>
      <c r="Q51" s="16" t="str">
        <f>VLOOKUP(Sales_Raw!$E51,ProductsMasterTable[#All],3,FALSE)</f>
        <v>Staples</v>
      </c>
      <c r="R51" s="16" t="str">
        <f>VLOOKUP(Sales_Raw!$E51,ProductsMasterTable[#All],4,FALSE)</f>
        <v>Nestle</v>
      </c>
      <c r="S51" s="16">
        <f>VLOOKUP(Sales_Raw!$E51,ProductsMasterTable[#All],5,FALSE)</f>
        <v>275.05</v>
      </c>
      <c r="T51" s="16">
        <f>VLOOKUP(Sales_Raw!$E51,ProductsMasterTable[#All],6,FALSE)</f>
        <v>309.64</v>
      </c>
      <c r="U51" s="16" t="str">
        <f>VLOOKUP(Sales_Raw!$E51,ProductsMasterTable[#All],7,FALSE)</f>
        <v>Kongu Distributors</v>
      </c>
      <c r="V51" s="16" t="str">
        <f>IFERROR(VLOOKUP(Sales_Raw!$D51,CustomersMasterTable[#All],2,FALSE),"Guest")</f>
        <v>Anitha Selvam</v>
      </c>
      <c r="W51" s="16" t="str">
        <f>IFERROR(VLOOKUP(Sales_Raw!$D51,CustomersMasterTable[#All],3,FALSE),"Guest")</f>
        <v>Female</v>
      </c>
      <c r="X51" s="16">
        <f>IFERROR(VLOOKUP(Sales_Raw!$D51,CustomersMasterTable[#All],4,FALSE),"Guest")</f>
        <v>46</v>
      </c>
      <c r="Y51" s="16" t="str">
        <f>IFERROR(VLOOKUP(Sales_Raw!$D51,CustomersMasterTable[#All],5,FALSE),"Guest")</f>
        <v>Dharmapuri</v>
      </c>
      <c r="Z51" s="16" t="str">
        <f>IFERROR(VLOOKUP(Sales_Raw!$D51,CustomersMasterTable[#All],6,FALSE),"Guest")</f>
        <v>Regular</v>
      </c>
      <c r="AA51" s="18">
        <f>IFERROR(VLOOKUP(Sales_Raw!$D51,CustomersMasterTable[#All],7,FALSE),"Guest")</f>
        <v>45911</v>
      </c>
      <c r="AB51" s="23">
        <f>Master_Data[[#This Row],[Qty]]*Master_Data[[#This Row],[Unit_Price]]</f>
        <v>1799.6999999999998</v>
      </c>
      <c r="AC51" s="23">
        <f>Master_Data[[#This Row],[Gross_ Sales]]*(1-Master_Data[[#This Row],[Discount Percentage]])</f>
        <v>1799.6999999999998</v>
      </c>
      <c r="AD51" s="23">
        <f>Master_Data[[#This Row],[Net_Sales]]-(Master_Data[[#This Row],[Qty]]*Master_Data[[#This Row],[Cost_Price]])</f>
        <v>149.39999999999964</v>
      </c>
    </row>
    <row r="52" spans="1:30" ht="15">
      <c r="A52" s="8" t="s">
        <v>165</v>
      </c>
      <c r="B52" s="27">
        <f>DATEVALUE(Master_Data[[#This Row],[Sale_Date]])</f>
        <v>46270</v>
      </c>
      <c r="C52" s="8" t="s">
        <v>161</v>
      </c>
      <c r="D52" s="8" t="s">
        <v>121</v>
      </c>
      <c r="E52" s="8" t="str">
        <f>UPPER(TRIM(Sales_Raw!$F52))</f>
        <v>P1018</v>
      </c>
      <c r="F52" s="8" t="s">
        <v>111</v>
      </c>
      <c r="G52" s="8">
        <v>4</v>
      </c>
      <c r="H52" s="9">
        <v>223.46</v>
      </c>
      <c r="I52" s="10">
        <v>0</v>
      </c>
      <c r="J52" s="8" t="str">
        <f>UPPER(TRIM(Sales_Raw!$K52))</f>
        <v>CASH</v>
      </c>
      <c r="K52" s="8" t="s">
        <v>14</v>
      </c>
      <c r="L52" s="8" t="str">
        <f>PROPER(TRIM(Sales_Raw!$M52))</f>
        <v>Fairlands</v>
      </c>
      <c r="M52" s="8" t="s">
        <v>15</v>
      </c>
      <c r="N52" s="7" t="s">
        <v>24</v>
      </c>
      <c r="O52" s="8" t="s">
        <v>65</v>
      </c>
      <c r="P52" s="11" t="str">
        <f>VLOOKUP(Sales_Raw!$E52,ProductsMasterTable[#All],2,FALSE)</f>
        <v>Orange Juice 1L</v>
      </c>
      <c r="Q52" s="11" t="str">
        <f>VLOOKUP(Sales_Raw!$E52,ProductsMasterTable[#All],3,FALSE)</f>
        <v>Beverages</v>
      </c>
      <c r="R52" s="11" t="str">
        <f>VLOOKUP(Sales_Raw!$E52,ProductsMasterTable[#All],4,FALSE)</f>
        <v>Cavin's</v>
      </c>
      <c r="S52" s="11">
        <f>VLOOKUP(Sales_Raw!$E52,ProductsMasterTable[#All],5,FALSE)</f>
        <v>203.83</v>
      </c>
      <c r="T52" s="11">
        <f>VLOOKUP(Sales_Raw!$E52,ProductsMasterTable[#All],6,FALSE)</f>
        <v>240.94</v>
      </c>
      <c r="U52" s="11" t="str">
        <f>VLOOKUP(Sales_Raw!$E52,ProductsMasterTable[#All],7,FALSE)</f>
        <v>Kongu Distributors</v>
      </c>
      <c r="V52" s="11" t="str">
        <f>IFERROR(VLOOKUP(Sales_Raw!$D52,CustomersMasterTable[#All],2,FALSE),"Guest")</f>
        <v>Priya Raj</v>
      </c>
      <c r="W52" s="11" t="str">
        <f>IFERROR(VLOOKUP(Sales_Raw!$D52,CustomersMasterTable[#All],3,FALSE),"Guest")</f>
        <v>Female</v>
      </c>
      <c r="X52" s="11">
        <f>IFERROR(VLOOKUP(Sales_Raw!$D52,CustomersMasterTable[#All],4,FALSE),"Guest")</f>
        <v>28</v>
      </c>
      <c r="Y52" s="11" t="str">
        <f>IFERROR(VLOOKUP(Sales_Raw!$D52,CustomersMasterTable[#All],5,FALSE),"Guest")</f>
        <v>Coimbatore</v>
      </c>
      <c r="Z52" s="11" t="str">
        <f>IFERROR(VLOOKUP(Sales_Raw!$D52,CustomersMasterTable[#All],6,FALSE),"Guest")</f>
        <v>Regular</v>
      </c>
      <c r="AA52" s="17">
        <f>IFERROR(VLOOKUP(Sales_Raw!$D52,CustomersMasterTable[#All],7,FALSE),"Guest")</f>
        <v>45927</v>
      </c>
      <c r="AB52" s="23">
        <f>Master_Data[[#This Row],[Qty]]*Master_Data[[#This Row],[Unit_Price]]</f>
        <v>893.84</v>
      </c>
      <c r="AC52" s="23">
        <f>Master_Data[[#This Row],[Gross_ Sales]]*(1-Master_Data[[#This Row],[Discount Percentage]])</f>
        <v>893.84</v>
      </c>
      <c r="AD52" s="23">
        <f>Master_Data[[#This Row],[Net_Sales]]-(Master_Data[[#This Row],[Qty]]*Master_Data[[#This Row],[Cost_Price]])</f>
        <v>78.519999999999982</v>
      </c>
    </row>
    <row r="53" spans="1:30" ht="15">
      <c r="A53" s="13" t="s">
        <v>166</v>
      </c>
      <c r="B53" s="28">
        <f>DATEVALUE(Master_Data[[#This Row],[Sale_Date]])</f>
        <v>46266</v>
      </c>
      <c r="C53" s="13" t="s">
        <v>11</v>
      </c>
      <c r="D53" s="13" t="s">
        <v>167</v>
      </c>
      <c r="E53" s="13" t="str">
        <f>UPPER(TRIM(Sales_Raw!$F53))</f>
        <v>P1023</v>
      </c>
      <c r="F53" s="13" t="s">
        <v>78</v>
      </c>
      <c r="G53" s="13">
        <v>3</v>
      </c>
      <c r="H53" s="14">
        <v>140.72</v>
      </c>
      <c r="I53" s="15">
        <v>0</v>
      </c>
      <c r="J53" s="13" t="str">
        <f>UPPER(TRIM(Sales_Raw!$K53))</f>
        <v>CASH</v>
      </c>
      <c r="K53" s="13" t="s">
        <v>14</v>
      </c>
      <c r="L53" s="13" t="str">
        <f>PROPER(TRIM(Sales_Raw!$M53))</f>
        <v>Hasthampatti</v>
      </c>
      <c r="M53" s="13" t="s">
        <v>23</v>
      </c>
      <c r="N53" s="12" t="s">
        <v>35</v>
      </c>
      <c r="O53" s="13" t="s">
        <v>80</v>
      </c>
      <c r="P53" s="16" t="str">
        <f>VLOOKUP(Sales_Raw!$E53,ProductsMasterTable[#All],2,FALSE)</f>
        <v>Shampoo 180ml</v>
      </c>
      <c r="Q53" s="16" t="str">
        <f>VLOOKUP(Sales_Raw!$E53,ProductsMasterTable[#All],3,FALSE)</f>
        <v>Personal Care</v>
      </c>
      <c r="R53" s="16" t="str">
        <f>VLOOKUP(Sales_Raw!$E53,ProductsMasterTable[#All],4,FALSE)</f>
        <v>Cavin's</v>
      </c>
      <c r="S53" s="16">
        <f>VLOOKUP(Sales_Raw!$E53,ProductsMasterTable[#All],5,FALSE)</f>
        <v>124.48</v>
      </c>
      <c r="T53" s="16">
        <f>VLOOKUP(Sales_Raw!$E53,ProductsMasterTable[#All],6,FALSE)</f>
        <v>146.47999999999999</v>
      </c>
      <c r="U53" s="16" t="str">
        <f>VLOOKUP(Sales_Raw!$E53,ProductsMasterTable[#All],7,FALSE)</f>
        <v>Sri Ganesh Agencies</v>
      </c>
      <c r="V53" s="16" t="str">
        <f>IFERROR(VLOOKUP(Sales_Raw!$D53,CustomersMasterTable[#All],2,FALSE),"Guest")</f>
        <v>Karthik Raj</v>
      </c>
      <c r="W53" s="16" t="str">
        <f>IFERROR(VLOOKUP(Sales_Raw!$D53,CustomersMasterTable[#All],3,FALSE),"Guest")</f>
        <v>Male</v>
      </c>
      <c r="X53" s="16">
        <f>IFERROR(VLOOKUP(Sales_Raw!$D53,CustomersMasterTable[#All],4,FALSE),"Guest")</f>
        <v>58</v>
      </c>
      <c r="Y53" s="16" t="str">
        <f>IFERROR(VLOOKUP(Sales_Raw!$D53,CustomersMasterTable[#All],5,FALSE),"Guest")</f>
        <v>Namakkal</v>
      </c>
      <c r="Z53" s="16" t="str">
        <f>IFERROR(VLOOKUP(Sales_Raw!$D53,CustomersMasterTable[#All],6,FALSE),"Guest")</f>
        <v>Silver</v>
      </c>
      <c r="AA53" s="18">
        <f>IFERROR(VLOOKUP(Sales_Raw!$D53,CustomersMasterTable[#All],7,FALSE),"Guest")</f>
        <v>46191</v>
      </c>
      <c r="AB53" s="23">
        <f>Master_Data[[#This Row],[Qty]]*Master_Data[[#This Row],[Unit_Price]]</f>
        <v>422.15999999999997</v>
      </c>
      <c r="AC53" s="23">
        <f>Master_Data[[#This Row],[Gross_ Sales]]*(1-Master_Data[[#This Row],[Discount Percentage]])</f>
        <v>422.15999999999997</v>
      </c>
      <c r="AD53" s="23">
        <f>Master_Data[[#This Row],[Net_Sales]]-(Master_Data[[#This Row],[Qty]]*Master_Data[[#This Row],[Cost_Price]])</f>
        <v>48.71999999999997</v>
      </c>
    </row>
    <row r="54" spans="1:30" ht="29.25">
      <c r="A54" s="8" t="s">
        <v>168</v>
      </c>
      <c r="B54" s="27">
        <f>DATEVALUE(Master_Data[[#This Row],[Sale_Date]])</f>
        <v>46250</v>
      </c>
      <c r="C54" s="8" t="s">
        <v>95</v>
      </c>
      <c r="D54" s="8" t="s">
        <v>169</v>
      </c>
      <c r="E54" s="8" t="str">
        <f>UPPER(TRIM(Sales_Raw!$F54))</f>
        <v>P1018</v>
      </c>
      <c r="F54" s="8" t="s">
        <v>111</v>
      </c>
      <c r="G54" s="8">
        <v>2</v>
      </c>
      <c r="H54" s="9">
        <v>229.06</v>
      </c>
      <c r="I54" s="10">
        <v>0.1</v>
      </c>
      <c r="J54" s="8" t="str">
        <f>UPPER(TRIM(Sales_Raw!$K54))</f>
        <v>CARD</v>
      </c>
      <c r="K54" s="8" t="s">
        <v>34</v>
      </c>
      <c r="L54" s="8" t="str">
        <f>PROPER(TRIM(Sales_Raw!$M54))</f>
        <v>Suramangalam</v>
      </c>
      <c r="M54" s="8" t="s">
        <v>40</v>
      </c>
      <c r="N54" s="7" t="s">
        <v>24</v>
      </c>
      <c r="O54" s="8" t="s">
        <v>65</v>
      </c>
      <c r="P54" s="11" t="str">
        <f>VLOOKUP(Sales_Raw!$E54,ProductsMasterTable[#All],2,FALSE)</f>
        <v>Orange Juice 1L</v>
      </c>
      <c r="Q54" s="11" t="str">
        <f>VLOOKUP(Sales_Raw!$E54,ProductsMasterTable[#All],3,FALSE)</f>
        <v>Beverages</v>
      </c>
      <c r="R54" s="11" t="str">
        <f>VLOOKUP(Sales_Raw!$E54,ProductsMasterTable[#All],4,FALSE)</f>
        <v>Cavin's</v>
      </c>
      <c r="S54" s="11">
        <f>VLOOKUP(Sales_Raw!$E54,ProductsMasterTable[#All],5,FALSE)</f>
        <v>203.83</v>
      </c>
      <c r="T54" s="11">
        <f>VLOOKUP(Sales_Raw!$E54,ProductsMasterTable[#All],6,FALSE)</f>
        <v>240.94</v>
      </c>
      <c r="U54" s="11" t="str">
        <f>VLOOKUP(Sales_Raw!$E54,ProductsMasterTable[#All],7,FALSE)</f>
        <v>Kongu Distributors</v>
      </c>
      <c r="V54" s="11" t="str">
        <f>IFERROR(VLOOKUP(Sales_Raw!$D54,CustomersMasterTable[#All],2,FALSE),"Guest")</f>
        <v>Anitha Shree</v>
      </c>
      <c r="W54" s="11" t="str">
        <f>IFERROR(VLOOKUP(Sales_Raw!$D54,CustomersMasterTable[#All],3,FALSE),"Guest")</f>
        <v>Male</v>
      </c>
      <c r="X54" s="11">
        <f>IFERROR(VLOOKUP(Sales_Raw!$D54,CustomersMasterTable[#All],4,FALSE),"Guest")</f>
        <v>60</v>
      </c>
      <c r="Y54" s="11" t="str">
        <f>IFERROR(VLOOKUP(Sales_Raw!$D54,CustomersMasterTable[#All],5,FALSE),"Guest")</f>
        <v>Dharmapuri</v>
      </c>
      <c r="Z54" s="11" t="str">
        <f>IFERROR(VLOOKUP(Sales_Raw!$D54,CustomersMasterTable[#All],6,FALSE),"Guest")</f>
        <v>Regular</v>
      </c>
      <c r="AA54" s="17">
        <f>IFERROR(VLOOKUP(Sales_Raw!$D54,CustomersMasterTable[#All],7,FALSE),"Guest")</f>
        <v>45764</v>
      </c>
      <c r="AB54" s="23">
        <f>Master_Data[[#This Row],[Qty]]*Master_Data[[#This Row],[Unit_Price]]</f>
        <v>458.12</v>
      </c>
      <c r="AC54" s="23">
        <f>Master_Data[[#This Row],[Gross_ Sales]]*(1-Master_Data[[#This Row],[Discount Percentage]])</f>
        <v>412.30799999999999</v>
      </c>
      <c r="AD54" s="23">
        <f>Master_Data[[#This Row],[Net_Sales]]-(Master_Data[[#This Row],[Qty]]*Master_Data[[#This Row],[Cost_Price]])</f>
        <v>4.6479999999999677</v>
      </c>
    </row>
    <row r="55" spans="1:30" ht="29.25">
      <c r="A55" s="13" t="s">
        <v>170</v>
      </c>
      <c r="B55" s="28">
        <f>DATEVALUE(Master_Data[[#This Row],[Sale_Date]])</f>
        <v>46239</v>
      </c>
      <c r="C55" s="13" t="s">
        <v>61</v>
      </c>
      <c r="D55" s="13" t="s">
        <v>114</v>
      </c>
      <c r="E55" s="13" t="str">
        <f>UPPER(TRIM(Sales_Raw!$F55))</f>
        <v>P1025</v>
      </c>
      <c r="F55" s="13" t="s">
        <v>154</v>
      </c>
      <c r="G55" s="13">
        <v>4</v>
      </c>
      <c r="H55" s="14">
        <v>209</v>
      </c>
      <c r="I55" s="15">
        <v>0.1</v>
      </c>
      <c r="J55" s="13" t="str">
        <f>UPPER(TRIM(Sales_Raw!$K55))</f>
        <v>CASH</v>
      </c>
      <c r="K55" s="13" t="s">
        <v>14</v>
      </c>
      <c r="L55" s="13" t="str">
        <f>PROPER(TRIM(Sales_Raw!$M55))</f>
        <v>Suramangalam</v>
      </c>
      <c r="M55" s="13" t="s">
        <v>171</v>
      </c>
      <c r="N55" s="12" t="s">
        <v>16</v>
      </c>
      <c r="O55" s="13" t="s">
        <v>80</v>
      </c>
      <c r="P55" s="16" t="str">
        <f>VLOOKUP(Sales_Raw!$E55,ProductsMasterTable[#All],2,FALSE)</f>
        <v>Handwash 250ml</v>
      </c>
      <c r="Q55" s="16" t="str">
        <f>VLOOKUP(Sales_Raw!$E55,ProductsMasterTable[#All],3,FALSE)</f>
        <v>Personal Care</v>
      </c>
      <c r="R55" s="16" t="str">
        <f>VLOOKUP(Sales_Raw!$E55,ProductsMasterTable[#All],4,FALSE)</f>
        <v>Britannia</v>
      </c>
      <c r="S55" s="16">
        <f>VLOOKUP(Sales_Raw!$E55,ProductsMasterTable[#All],5,FALSE)</f>
        <v>163.52000000000001</v>
      </c>
      <c r="T55" s="16">
        <f>VLOOKUP(Sales_Raw!$E55,ProductsMasterTable[#All],6,FALSE)</f>
        <v>220.65</v>
      </c>
      <c r="U55" s="16" t="str">
        <f>VLOOKUP(Sales_Raw!$E55,ProductsMasterTable[#All],7,FALSE)</f>
        <v>Sri Ganesh Agencies</v>
      </c>
      <c r="V55" s="16" t="str">
        <f>IFERROR(VLOOKUP(Sales_Raw!$D55,CustomersMasterTable[#All],2,FALSE),"Guest")</f>
        <v>Nithya M</v>
      </c>
      <c r="W55" s="16" t="str">
        <f>IFERROR(VLOOKUP(Sales_Raw!$D55,CustomersMasterTable[#All],3,FALSE),"Guest")</f>
        <v>Female</v>
      </c>
      <c r="X55" s="16">
        <f>IFERROR(VLOOKUP(Sales_Raw!$D55,CustomersMasterTable[#All],4,FALSE),"Guest")</f>
        <v>21</v>
      </c>
      <c r="Y55" s="16" t="str">
        <f>IFERROR(VLOOKUP(Sales_Raw!$D55,CustomersMasterTable[#All],5,FALSE),"Guest")</f>
        <v>Erode</v>
      </c>
      <c r="Z55" s="16" t="str">
        <f>IFERROR(VLOOKUP(Sales_Raw!$D55,CustomersMasterTable[#All],6,FALSE),"Guest")</f>
        <v>Regular</v>
      </c>
      <c r="AA55" s="18">
        <f>IFERROR(VLOOKUP(Sales_Raw!$D55,CustomersMasterTable[#All],7,FALSE),"Guest")</f>
        <v>46057</v>
      </c>
      <c r="AB55" s="23">
        <f>Master_Data[[#This Row],[Qty]]*Master_Data[[#This Row],[Unit_Price]]</f>
        <v>836</v>
      </c>
      <c r="AC55" s="23">
        <f>Master_Data[[#This Row],[Gross_ Sales]]*(1-Master_Data[[#This Row],[Discount Percentage]])</f>
        <v>752.4</v>
      </c>
      <c r="AD55" s="23">
        <f>Master_Data[[#This Row],[Net_Sales]]-(Master_Data[[#This Row],[Qty]]*Master_Data[[#This Row],[Cost_Price]])</f>
        <v>98.319999999999936</v>
      </c>
    </row>
    <row r="56" spans="1:30" ht="15">
      <c r="A56" s="8" t="s">
        <v>172</v>
      </c>
      <c r="B56" s="27">
        <f>DATEVALUE(Master_Data[[#This Row],[Sale_Date]])</f>
        <v>46254</v>
      </c>
      <c r="C56" s="8" t="s">
        <v>120</v>
      </c>
      <c r="D56" s="8" t="s">
        <v>47</v>
      </c>
      <c r="E56" s="8" t="str">
        <f>UPPER(TRIM(Sales_Raw!$F56))</f>
        <v>P1019</v>
      </c>
      <c r="F56" s="8" t="s">
        <v>84</v>
      </c>
      <c r="G56" s="8">
        <v>5</v>
      </c>
      <c r="H56" s="9">
        <v>385.21</v>
      </c>
      <c r="I56" s="10">
        <v>0.05</v>
      </c>
      <c r="J56" s="8" t="str">
        <f>UPPER(TRIM(Sales_Raw!$K56))</f>
        <v>UPI</v>
      </c>
      <c r="K56" s="8" t="s">
        <v>22</v>
      </c>
      <c r="L56" s="8" t="str">
        <f>PROPER(TRIM(Sales_Raw!$M56))</f>
        <v>Hasthampatti</v>
      </c>
      <c r="M56" s="8" t="s">
        <v>23</v>
      </c>
      <c r="N56" s="7" t="s">
        <v>41</v>
      </c>
      <c r="O56" s="8" t="s">
        <v>65</v>
      </c>
      <c r="P56" s="11" t="str">
        <f>VLOOKUP(Sales_Raw!$E56,ProductsMasterTable[#All],2,FALSE)</f>
        <v>Cola 750ml</v>
      </c>
      <c r="Q56" s="11" t="str">
        <f>VLOOKUP(Sales_Raw!$E56,ProductsMasterTable[#All],3,FALSE)</f>
        <v>Beverages</v>
      </c>
      <c r="R56" s="11" t="str">
        <f>VLOOKUP(Sales_Raw!$E56,ProductsMasterTable[#All],4,FALSE)</f>
        <v>Aachi</v>
      </c>
      <c r="S56" s="11">
        <f>VLOOKUP(Sales_Raw!$E56,ProductsMasterTable[#All],5,FALSE)</f>
        <v>293.20999999999998</v>
      </c>
      <c r="T56" s="11">
        <f>VLOOKUP(Sales_Raw!$E56,ProductsMasterTable[#All],6,FALSE)</f>
        <v>385.24</v>
      </c>
      <c r="U56" s="11" t="str">
        <f>VLOOKUP(Sales_Raw!$E56,ProductsMasterTable[#All],7,FALSE)</f>
        <v>Kongu Distributors</v>
      </c>
      <c r="V56" s="11" t="str">
        <f>IFERROR(VLOOKUP(Sales_Raw!$D56,CustomersMasterTable[#All],2,FALSE),"Guest")</f>
        <v>Naveen S</v>
      </c>
      <c r="W56" s="11" t="str">
        <f>IFERROR(VLOOKUP(Sales_Raw!$D56,CustomersMasterTable[#All],3,FALSE),"Guest")</f>
        <v>Male</v>
      </c>
      <c r="X56" s="11">
        <f>IFERROR(VLOOKUP(Sales_Raw!$D56,CustomersMasterTable[#All],4,FALSE),"Guest")</f>
        <v>20</v>
      </c>
      <c r="Y56" s="11" t="str">
        <f>IFERROR(VLOOKUP(Sales_Raw!$D56,CustomersMasterTable[#All],5,FALSE),"Guest")</f>
        <v>Erode</v>
      </c>
      <c r="Z56" s="11" t="str">
        <f>IFERROR(VLOOKUP(Sales_Raw!$D56,CustomersMasterTable[#All],6,FALSE),"Guest")</f>
        <v>Gold</v>
      </c>
      <c r="AA56" s="17">
        <f>IFERROR(VLOOKUP(Sales_Raw!$D56,CustomersMasterTable[#All],7,FALSE),"Guest")</f>
        <v>45732</v>
      </c>
      <c r="AB56" s="23">
        <f>Master_Data[[#This Row],[Qty]]*Master_Data[[#This Row],[Unit_Price]]</f>
        <v>1926.05</v>
      </c>
      <c r="AC56" s="23">
        <f>Master_Data[[#This Row],[Gross_ Sales]]*(1-Master_Data[[#This Row],[Discount Percentage]])</f>
        <v>1829.7474999999999</v>
      </c>
      <c r="AD56" s="23">
        <f>Master_Data[[#This Row],[Net_Sales]]-(Master_Data[[#This Row],[Qty]]*Master_Data[[#This Row],[Cost_Price]])</f>
        <v>363.69749999999999</v>
      </c>
    </row>
    <row r="57" spans="1:30" ht="15">
      <c r="A57" s="13" t="s">
        <v>173</v>
      </c>
      <c r="B57" s="28">
        <f>DATEVALUE(Master_Data[[#This Row],[Sale_Date]])</f>
        <v>46265</v>
      </c>
      <c r="C57" s="13" t="s">
        <v>126</v>
      </c>
      <c r="D57" s="13" t="s">
        <v>38</v>
      </c>
      <c r="E57" s="13" t="str">
        <f>UPPER(TRIM(Sales_Raw!$F57))</f>
        <v>P1011</v>
      </c>
      <c r="F57" s="13" t="s">
        <v>57</v>
      </c>
      <c r="G57" s="13">
        <v>5</v>
      </c>
      <c r="H57" s="14">
        <v>484.55</v>
      </c>
      <c r="I57" s="15">
        <v>0.05</v>
      </c>
      <c r="J57" s="13" t="str">
        <f>UPPER(TRIM(Sales_Raw!$K57))</f>
        <v>CASH</v>
      </c>
      <c r="K57" s="13" t="s">
        <v>14</v>
      </c>
      <c r="L57" s="13" t="str">
        <f>PROPER(TRIM(Sales_Raw!$M57))</f>
        <v>Hasthampatti</v>
      </c>
      <c r="M57" s="13" t="s">
        <v>23</v>
      </c>
      <c r="N57" s="12" t="s">
        <v>24</v>
      </c>
      <c r="O57" s="13" t="s">
        <v>17</v>
      </c>
      <c r="P57" s="16" t="str">
        <f>VLOOKUP(Sales_Raw!$E57,ProductsMasterTable[#All],2,FALSE)</f>
        <v>Cheese Slices</v>
      </c>
      <c r="Q57" s="16" t="str">
        <f>VLOOKUP(Sales_Raw!$E57,ProductsMasterTable[#All],3,FALSE)</f>
        <v>Dairy</v>
      </c>
      <c r="R57" s="16" t="str">
        <f>VLOOKUP(Sales_Raw!$E57,ProductsMasterTable[#All],4,FALSE)</f>
        <v>Cavin's</v>
      </c>
      <c r="S57" s="16">
        <f>VLOOKUP(Sales_Raw!$E57,ProductsMasterTable[#All],5,FALSE)</f>
        <v>409.19</v>
      </c>
      <c r="T57" s="16">
        <f>VLOOKUP(Sales_Raw!$E57,ProductsMasterTable[#All],6,FALSE)</f>
        <v>493.92</v>
      </c>
      <c r="U57" s="16" t="str">
        <f>VLOOKUP(Sales_Raw!$E57,ProductsMasterTable[#All],7,FALSE)</f>
        <v>Metro Supply Co</v>
      </c>
      <c r="V57" s="16" t="str">
        <f>IFERROR(VLOOKUP(Sales_Raw!$D57,CustomersMasterTable[#All],2,FALSE),"Guest")</f>
        <v>Janani R</v>
      </c>
      <c r="W57" s="16" t="str">
        <f>IFERROR(VLOOKUP(Sales_Raw!$D57,CustomersMasterTable[#All],3,FALSE),"Guest")</f>
        <v>Male</v>
      </c>
      <c r="X57" s="16">
        <f>IFERROR(VLOOKUP(Sales_Raw!$D57,CustomersMasterTable[#All],4,FALSE),"Guest")</f>
        <v>43</v>
      </c>
      <c r="Y57" s="16" t="str">
        <f>IFERROR(VLOOKUP(Sales_Raw!$D57,CustomersMasterTable[#All],5,FALSE),"Guest")</f>
        <v>Salem</v>
      </c>
      <c r="Z57" s="16" t="str">
        <f>IFERROR(VLOOKUP(Sales_Raw!$D57,CustomersMasterTable[#All],6,FALSE),"Guest")</f>
        <v>Gold</v>
      </c>
      <c r="AA57" s="18">
        <f>IFERROR(VLOOKUP(Sales_Raw!$D57,CustomersMasterTable[#All],7,FALSE),"Guest")</f>
        <v>46241</v>
      </c>
      <c r="AB57" s="23">
        <f>Master_Data[[#This Row],[Qty]]*Master_Data[[#This Row],[Unit_Price]]</f>
        <v>2422.75</v>
      </c>
      <c r="AC57" s="23">
        <f>Master_Data[[#This Row],[Gross_ Sales]]*(1-Master_Data[[#This Row],[Discount Percentage]])</f>
        <v>2301.6124999999997</v>
      </c>
      <c r="AD57" s="23">
        <f>Master_Data[[#This Row],[Net_Sales]]-(Master_Data[[#This Row],[Qty]]*Master_Data[[#This Row],[Cost_Price]])</f>
        <v>255.66249999999968</v>
      </c>
    </row>
    <row r="58" spans="1:30" ht="15">
      <c r="A58" s="8" t="s">
        <v>174</v>
      </c>
      <c r="B58" s="27">
        <f>DATEVALUE(Master_Data[[#This Row],[Sale_Date]])</f>
        <v>46250</v>
      </c>
      <c r="C58" s="8" t="s">
        <v>175</v>
      </c>
      <c r="D58" s="8" t="s">
        <v>134</v>
      </c>
      <c r="E58" s="8" t="str">
        <f>UPPER(TRIM(Sales_Raw!$F58))</f>
        <v>P1013</v>
      </c>
      <c r="F58" s="8" t="s">
        <v>176</v>
      </c>
      <c r="G58" s="8">
        <v>2</v>
      </c>
      <c r="H58" s="9">
        <v>107.01</v>
      </c>
      <c r="I58" s="10">
        <v>0.05</v>
      </c>
      <c r="J58" s="8" t="str">
        <f>UPPER(TRIM(Sales_Raw!$K58))</f>
        <v>UPI</v>
      </c>
      <c r="K58" s="8" t="s">
        <v>22</v>
      </c>
      <c r="L58" s="8" t="str">
        <f>PROPER(TRIM(Sales_Raw!$M58))</f>
        <v>Hasthampatti</v>
      </c>
      <c r="M58" s="8" t="s">
        <v>23</v>
      </c>
      <c r="N58" s="7" t="s">
        <v>35</v>
      </c>
      <c r="O58" s="8" t="s">
        <v>30</v>
      </c>
      <c r="P58" s="11" t="str">
        <f>VLOOKUP(Sales_Raw!$E58,ProductsMasterTable[#All],2,FALSE)</f>
        <v>Banana Chips</v>
      </c>
      <c r="Q58" s="11" t="str">
        <f>VLOOKUP(Sales_Raw!$E58,ProductsMasterTable[#All],3,FALSE)</f>
        <v>Snacks</v>
      </c>
      <c r="R58" s="11" t="str">
        <f>VLOOKUP(Sales_Raw!$E58,ProductsMasterTable[#All],4,FALSE)</f>
        <v>Tata</v>
      </c>
      <c r="S58" s="11">
        <f>VLOOKUP(Sales_Raw!$E58,ProductsMasterTable[#All],5,FALSE)</f>
        <v>95.3</v>
      </c>
      <c r="T58" s="11">
        <f>VLOOKUP(Sales_Raw!$E58,ProductsMasterTable[#All],6,FALSE)</f>
        <v>108.26</v>
      </c>
      <c r="U58" s="11" t="str">
        <f>VLOOKUP(Sales_Raw!$E58,ProductsMasterTable[#All],7,FALSE)</f>
        <v>Metro Supply Co</v>
      </c>
      <c r="V58" s="11" t="str">
        <f>IFERROR(VLOOKUP(Sales_Raw!$D58,CustomersMasterTable[#All],2,FALSE),"Guest")</f>
        <v>Kavin Raj</v>
      </c>
      <c r="W58" s="11" t="str">
        <f>IFERROR(VLOOKUP(Sales_Raw!$D58,CustomersMasterTable[#All],3,FALSE),"Guest")</f>
        <v>Female</v>
      </c>
      <c r="X58" s="11">
        <f>IFERROR(VLOOKUP(Sales_Raw!$D58,CustomersMasterTable[#All],4,FALSE),"Guest")</f>
        <v>68</v>
      </c>
      <c r="Y58" s="11" t="str">
        <f>IFERROR(VLOOKUP(Sales_Raw!$D58,CustomersMasterTable[#All],5,FALSE),"Guest")</f>
        <v>Salem</v>
      </c>
      <c r="Z58" s="11" t="str">
        <f>IFERROR(VLOOKUP(Sales_Raw!$D58,CustomersMasterTable[#All],6,FALSE),"Guest")</f>
        <v>Gold</v>
      </c>
      <c r="AA58" s="17">
        <f>IFERROR(VLOOKUP(Sales_Raw!$D58,CustomersMasterTable[#All],7,FALSE),"Guest")</f>
        <v>45873</v>
      </c>
      <c r="AB58" s="23">
        <f>Master_Data[[#This Row],[Qty]]*Master_Data[[#This Row],[Unit_Price]]</f>
        <v>214.02</v>
      </c>
      <c r="AC58" s="23">
        <f>Master_Data[[#This Row],[Gross_ Sales]]*(1-Master_Data[[#This Row],[Discount Percentage]])</f>
        <v>203.31899999999999</v>
      </c>
      <c r="AD58" s="23">
        <f>Master_Data[[#This Row],[Net_Sales]]-(Master_Data[[#This Row],[Qty]]*Master_Data[[#This Row],[Cost_Price]])</f>
        <v>12.718999999999994</v>
      </c>
    </row>
    <row r="59" spans="1:30" ht="15">
      <c r="A59" s="13" t="s">
        <v>177</v>
      </c>
      <c r="B59" s="28">
        <f>DATEVALUE(Master_Data[[#This Row],[Sale_Date]])</f>
        <v>46259</v>
      </c>
      <c r="C59" s="13" t="s">
        <v>98</v>
      </c>
      <c r="D59" s="13" t="s">
        <v>33</v>
      </c>
      <c r="E59" s="13" t="str">
        <f>UPPER(TRIM(Sales_Raw!$F59))</f>
        <v>P1022</v>
      </c>
      <c r="F59" s="13" t="s">
        <v>140</v>
      </c>
      <c r="G59" s="13">
        <v>6</v>
      </c>
      <c r="H59" s="14">
        <v>127.58</v>
      </c>
      <c r="I59" s="15">
        <v>0.05</v>
      </c>
      <c r="J59" s="13" t="str">
        <f>UPPER(TRIM(Sales_Raw!$K59))</f>
        <v>UPI</v>
      </c>
      <c r="K59" s="13" t="s">
        <v>22</v>
      </c>
      <c r="L59" s="13" t="str">
        <f>PROPER(TRIM(Sales_Raw!$M59))</f>
        <v>Fairlands</v>
      </c>
      <c r="M59" s="13" t="s">
        <v>15</v>
      </c>
      <c r="N59" s="12" t="s">
        <v>41</v>
      </c>
      <c r="O59" s="13" t="s">
        <v>80</v>
      </c>
      <c r="P59" s="16" t="str">
        <f>VLOOKUP(Sales_Raw!$E59,ProductsMasterTable[#All],2,FALSE)</f>
        <v>Bath Soap</v>
      </c>
      <c r="Q59" s="16" t="str">
        <f>VLOOKUP(Sales_Raw!$E59,ProductsMasterTable[#All],3,FALSE)</f>
        <v>Personal Care</v>
      </c>
      <c r="R59" s="16" t="str">
        <f>VLOOKUP(Sales_Raw!$E59,ProductsMasterTable[#All],4,FALSE)</f>
        <v>LocalFresh</v>
      </c>
      <c r="S59" s="16">
        <f>VLOOKUP(Sales_Raw!$E59,ProductsMasterTable[#All],5,FALSE)</f>
        <v>103.48</v>
      </c>
      <c r="T59" s="16">
        <f>VLOOKUP(Sales_Raw!$E59,ProductsMasterTable[#All],6,FALSE)</f>
        <v>127.78</v>
      </c>
      <c r="U59" s="16" t="str">
        <f>VLOOKUP(Sales_Raw!$E59,ProductsMasterTable[#All],7,FALSE)</f>
        <v>Kongu Distributors</v>
      </c>
      <c r="V59" s="16" t="str">
        <f>IFERROR(VLOOKUP(Sales_Raw!$D59,CustomersMasterTable[#All],2,FALSE),"Guest")</f>
        <v>Surya Priyan</v>
      </c>
      <c r="W59" s="16" t="str">
        <f>IFERROR(VLOOKUP(Sales_Raw!$D59,CustomersMasterTable[#All],3,FALSE),"Guest")</f>
        <v>Female</v>
      </c>
      <c r="X59" s="16">
        <f>IFERROR(VLOOKUP(Sales_Raw!$D59,CustomersMasterTable[#All],4,FALSE),"Guest")</f>
        <v>34</v>
      </c>
      <c r="Y59" s="16" t="str">
        <f>IFERROR(VLOOKUP(Sales_Raw!$D59,CustomersMasterTable[#All],5,FALSE),"Guest")</f>
        <v>Erode</v>
      </c>
      <c r="Z59" s="16" t="str">
        <f>IFERROR(VLOOKUP(Sales_Raw!$D59,CustomersMasterTable[#All],6,FALSE),"Guest")</f>
        <v>Silver</v>
      </c>
      <c r="AA59" s="18">
        <f>IFERROR(VLOOKUP(Sales_Raw!$D59,CustomersMasterTable[#All],7,FALSE),"Guest")</f>
        <v>45979</v>
      </c>
      <c r="AB59" s="23">
        <f>Master_Data[[#This Row],[Qty]]*Master_Data[[#This Row],[Unit_Price]]</f>
        <v>765.48</v>
      </c>
      <c r="AC59" s="23">
        <f>Master_Data[[#This Row],[Gross_ Sales]]*(1-Master_Data[[#This Row],[Discount Percentage]])</f>
        <v>727.20600000000002</v>
      </c>
      <c r="AD59" s="23">
        <f>Master_Data[[#This Row],[Net_Sales]]-(Master_Data[[#This Row],[Qty]]*Master_Data[[#This Row],[Cost_Price]])</f>
        <v>106.32600000000002</v>
      </c>
    </row>
    <row r="60" spans="1:30" ht="29.25">
      <c r="A60" s="8" t="s">
        <v>178</v>
      </c>
      <c r="B60" s="27">
        <f>DATEVALUE(Master_Data[[#This Row],[Sale_Date]])</f>
        <v>46256</v>
      </c>
      <c r="C60" s="8" t="s">
        <v>19</v>
      </c>
      <c r="D60" s="8" t="s">
        <v>179</v>
      </c>
      <c r="E60" s="8" t="str">
        <f>UPPER(TRIM(Sales_Raw!$F60))</f>
        <v>P1004</v>
      </c>
      <c r="F60" s="8" t="s">
        <v>159</v>
      </c>
      <c r="G60" s="8">
        <v>4</v>
      </c>
      <c r="H60" s="9">
        <v>130.25</v>
      </c>
      <c r="I60" s="10">
        <v>0.05</v>
      </c>
      <c r="J60" s="8" t="str">
        <f>UPPER(TRIM(Sales_Raw!$K60))</f>
        <v>UPI</v>
      </c>
      <c r="K60" s="8" t="s">
        <v>22</v>
      </c>
      <c r="L60" s="8" t="str">
        <f>PROPER(TRIM(Sales_Raw!$M60))</f>
        <v>Suramangalam</v>
      </c>
      <c r="M60" s="8" t="s">
        <v>40</v>
      </c>
      <c r="N60" s="7" t="s">
        <v>24</v>
      </c>
      <c r="O60" s="8" t="s">
        <v>54</v>
      </c>
      <c r="P60" s="11" t="str">
        <f>VLOOKUP(Sales_Raw!$E60,ProductsMasterTable[#All],2,FALSE)</f>
        <v>Urad Dal 1kg</v>
      </c>
      <c r="Q60" s="11" t="str">
        <f>VLOOKUP(Sales_Raw!$E60,ProductsMasterTable[#All],3,FALSE)</f>
        <v>Staples</v>
      </c>
      <c r="R60" s="11" t="str">
        <f>VLOOKUP(Sales_Raw!$E60,ProductsMasterTable[#All],4,FALSE)</f>
        <v>Cavin's</v>
      </c>
      <c r="S60" s="11">
        <f>VLOOKUP(Sales_Raw!$E60,ProductsMasterTable[#All],5,FALSE)</f>
        <v>111.53</v>
      </c>
      <c r="T60" s="11">
        <f>VLOOKUP(Sales_Raw!$E60,ProductsMasterTable[#All],6,FALSE)</f>
        <v>140.36000000000001</v>
      </c>
      <c r="U60" s="11" t="str">
        <f>VLOOKUP(Sales_Raw!$E60,ProductsMasterTable[#All],7,FALSE)</f>
        <v>Kongu Distributors</v>
      </c>
      <c r="V60" s="11" t="str">
        <f>IFERROR(VLOOKUP(Sales_Raw!$D60,CustomersMasterTable[#All],2,FALSE),"Guest")</f>
        <v>Keerthi S</v>
      </c>
      <c r="W60" s="11" t="str">
        <f>IFERROR(VLOOKUP(Sales_Raw!$D60,CustomersMasterTable[#All],3,FALSE),"Guest")</f>
        <v>Male</v>
      </c>
      <c r="X60" s="11">
        <f>IFERROR(VLOOKUP(Sales_Raw!$D60,CustomersMasterTable[#All],4,FALSE),"Guest")</f>
        <v>66</v>
      </c>
      <c r="Y60" s="11" t="str">
        <f>IFERROR(VLOOKUP(Sales_Raw!$D60,CustomersMasterTable[#All],5,FALSE),"Guest")</f>
        <v>Salem</v>
      </c>
      <c r="Z60" s="11" t="str">
        <f>IFERROR(VLOOKUP(Sales_Raw!$D60,CustomersMasterTable[#All],6,FALSE),"Guest")</f>
        <v>Silver</v>
      </c>
      <c r="AA60" s="17">
        <f>IFERROR(VLOOKUP(Sales_Raw!$D60,CustomersMasterTable[#All],7,FALSE),"Guest")</f>
        <v>45882</v>
      </c>
      <c r="AB60" s="23">
        <f>Master_Data[[#This Row],[Qty]]*Master_Data[[#This Row],[Unit_Price]]</f>
        <v>521</v>
      </c>
      <c r="AC60" s="23">
        <f>Master_Data[[#This Row],[Gross_ Sales]]*(1-Master_Data[[#This Row],[Discount Percentage]])</f>
        <v>494.95</v>
      </c>
      <c r="AD60" s="23">
        <f>Master_Data[[#This Row],[Net_Sales]]-(Master_Data[[#This Row],[Qty]]*Master_Data[[#This Row],[Cost_Price]])</f>
        <v>48.829999999999984</v>
      </c>
    </row>
    <row r="61" spans="1:30" ht="29.25">
      <c r="A61" s="13" t="s">
        <v>180</v>
      </c>
      <c r="B61" s="28">
        <f>DATEVALUE(Master_Data[[#This Row],[Sale_Date]])</f>
        <v>46261</v>
      </c>
      <c r="C61" s="13" t="s">
        <v>32</v>
      </c>
      <c r="D61" s="13" t="s">
        <v>179</v>
      </c>
      <c r="E61" s="13" t="str">
        <f>UPPER(TRIM(Sales_Raw!$F61))</f>
        <v>P1021</v>
      </c>
      <c r="F61" s="13" t="s">
        <v>63</v>
      </c>
      <c r="G61" s="13">
        <v>2</v>
      </c>
      <c r="H61" s="14">
        <v>54.94</v>
      </c>
      <c r="I61" s="15">
        <v>0</v>
      </c>
      <c r="J61" s="13" t="str">
        <f>UPPER(TRIM(Sales_Raw!$K61))</f>
        <v>CASH</v>
      </c>
      <c r="K61" s="13" t="s">
        <v>14</v>
      </c>
      <c r="L61" s="13" t="str">
        <f>PROPER(TRIM(Sales_Raw!$M61))</f>
        <v>Suramangalam</v>
      </c>
      <c r="M61" s="13" t="s">
        <v>40</v>
      </c>
      <c r="N61" s="12" t="s">
        <v>35</v>
      </c>
      <c r="O61" s="13" t="s">
        <v>65</v>
      </c>
      <c r="P61" s="16" t="str">
        <f>VLOOKUP(Sales_Raw!$E61,ProductsMasterTable[#All],2,FALSE)</f>
        <v>Coffee 200g</v>
      </c>
      <c r="Q61" s="16" t="str">
        <f>VLOOKUP(Sales_Raw!$E61,ProductsMasterTable[#All],3,FALSE)</f>
        <v>Beverages</v>
      </c>
      <c r="R61" s="16" t="str">
        <f>VLOOKUP(Sales_Raw!$E61,ProductsMasterTable[#All],4,FALSE)</f>
        <v>Surf</v>
      </c>
      <c r="S61" s="16">
        <f>VLOOKUP(Sales_Raw!$E61,ProductsMasterTable[#All],5,FALSE)</f>
        <v>44.61</v>
      </c>
      <c r="T61" s="16">
        <f>VLOOKUP(Sales_Raw!$E61,ProductsMasterTable[#All],6,FALSE)</f>
        <v>59.33</v>
      </c>
      <c r="U61" s="16" t="str">
        <f>VLOOKUP(Sales_Raw!$E61,ProductsMasterTable[#All],7,FALSE)</f>
        <v>Metro Supply Co</v>
      </c>
      <c r="V61" s="16" t="str">
        <f>IFERROR(VLOOKUP(Sales_Raw!$D61,CustomersMasterTable[#All],2,FALSE),"Guest")</f>
        <v>Keerthi S</v>
      </c>
      <c r="W61" s="16" t="str">
        <f>IFERROR(VLOOKUP(Sales_Raw!$D61,CustomersMasterTable[#All],3,FALSE),"Guest")</f>
        <v>Male</v>
      </c>
      <c r="X61" s="16">
        <f>IFERROR(VLOOKUP(Sales_Raw!$D61,CustomersMasterTable[#All],4,FALSE),"Guest")</f>
        <v>66</v>
      </c>
      <c r="Y61" s="16" t="str">
        <f>IFERROR(VLOOKUP(Sales_Raw!$D61,CustomersMasterTable[#All],5,FALSE),"Guest")</f>
        <v>Salem</v>
      </c>
      <c r="Z61" s="16" t="str">
        <f>IFERROR(VLOOKUP(Sales_Raw!$D61,CustomersMasterTable[#All],6,FALSE),"Guest")</f>
        <v>Silver</v>
      </c>
      <c r="AA61" s="18">
        <f>IFERROR(VLOOKUP(Sales_Raw!$D61,CustomersMasterTable[#All],7,FALSE),"Guest")</f>
        <v>45882</v>
      </c>
      <c r="AB61" s="23">
        <f>Master_Data[[#This Row],[Qty]]*Master_Data[[#This Row],[Unit_Price]]</f>
        <v>109.88</v>
      </c>
      <c r="AC61" s="23">
        <f>Master_Data[[#This Row],[Gross_ Sales]]*(1-Master_Data[[#This Row],[Discount Percentage]])</f>
        <v>109.88</v>
      </c>
      <c r="AD61" s="23">
        <f>Master_Data[[#This Row],[Net_Sales]]-(Master_Data[[#This Row],[Qty]]*Master_Data[[#This Row],[Cost_Price]])</f>
        <v>20.659999999999997</v>
      </c>
    </row>
    <row r="62" spans="1:30" ht="29.25">
      <c r="A62" s="8" t="s">
        <v>181</v>
      </c>
      <c r="B62" s="27">
        <f>DATEVALUE(Master_Data[[#This Row],[Sale_Date]])</f>
        <v>46240</v>
      </c>
      <c r="C62" s="8" t="s">
        <v>182</v>
      </c>
      <c r="D62" s="8" t="s">
        <v>183</v>
      </c>
      <c r="E62" s="8" t="str">
        <f>UPPER(TRIM(Sales_Raw!$F62))</f>
        <v>P1011</v>
      </c>
      <c r="F62" s="8" t="s">
        <v>57</v>
      </c>
      <c r="G62" s="8">
        <v>6</v>
      </c>
      <c r="H62" s="9">
        <v>488.36</v>
      </c>
      <c r="I62" s="10">
        <v>0.05</v>
      </c>
      <c r="J62" s="8" t="str">
        <f>UPPER(TRIM(Sales_Raw!$K62))</f>
        <v>CASH</v>
      </c>
      <c r="K62" s="8" t="s">
        <v>14</v>
      </c>
      <c r="L62" s="8" t="str">
        <f>PROPER(TRIM(Sales_Raw!$M62))</f>
        <v>Suramangalam</v>
      </c>
      <c r="M62" s="8" t="s">
        <v>40</v>
      </c>
      <c r="N62" s="7" t="s">
        <v>35</v>
      </c>
      <c r="O62" s="8" t="s">
        <v>17</v>
      </c>
      <c r="P62" s="11" t="str">
        <f>VLOOKUP(Sales_Raw!$E62,ProductsMasterTable[#All],2,FALSE)</f>
        <v>Cheese Slices</v>
      </c>
      <c r="Q62" s="11" t="str">
        <f>VLOOKUP(Sales_Raw!$E62,ProductsMasterTable[#All],3,FALSE)</f>
        <v>Dairy</v>
      </c>
      <c r="R62" s="11" t="str">
        <f>VLOOKUP(Sales_Raw!$E62,ProductsMasterTable[#All],4,FALSE)</f>
        <v>Cavin's</v>
      </c>
      <c r="S62" s="11">
        <f>VLOOKUP(Sales_Raw!$E62,ProductsMasterTable[#All],5,FALSE)</f>
        <v>409.19</v>
      </c>
      <c r="T62" s="11">
        <f>VLOOKUP(Sales_Raw!$E62,ProductsMasterTable[#All],6,FALSE)</f>
        <v>493.92</v>
      </c>
      <c r="U62" s="11" t="str">
        <f>VLOOKUP(Sales_Raw!$E62,ProductsMasterTable[#All],7,FALSE)</f>
        <v>Metro Supply Co</v>
      </c>
      <c r="V62" s="11" t="str">
        <f>IFERROR(VLOOKUP(Sales_Raw!$D62,CustomersMasterTable[#All],2,FALSE),"Guest")</f>
        <v>Karthik Selvam</v>
      </c>
      <c r="W62" s="11" t="str">
        <f>IFERROR(VLOOKUP(Sales_Raw!$D62,CustomersMasterTable[#All],3,FALSE),"Guest")</f>
        <v>Male</v>
      </c>
      <c r="X62" s="11">
        <f>IFERROR(VLOOKUP(Sales_Raw!$D62,CustomersMasterTable[#All],4,FALSE),"Guest")</f>
        <v>63</v>
      </c>
      <c r="Y62" s="11" t="str">
        <f>IFERROR(VLOOKUP(Sales_Raw!$D62,CustomersMasterTable[#All],5,FALSE),"Guest")</f>
        <v>Karur</v>
      </c>
      <c r="Z62" s="11" t="str">
        <f>IFERROR(VLOOKUP(Sales_Raw!$D62,CustomersMasterTable[#All],6,FALSE),"Guest")</f>
        <v>Regular</v>
      </c>
      <c r="AA62" s="17">
        <f>IFERROR(VLOOKUP(Sales_Raw!$D62,CustomersMasterTable[#All],7,FALSE),"Guest")</f>
        <v>46067</v>
      </c>
      <c r="AB62" s="23">
        <f>Master_Data[[#This Row],[Qty]]*Master_Data[[#This Row],[Unit_Price]]</f>
        <v>2930.16</v>
      </c>
      <c r="AC62" s="23">
        <f>Master_Data[[#This Row],[Gross_ Sales]]*(1-Master_Data[[#This Row],[Discount Percentage]])</f>
        <v>2783.6519999999996</v>
      </c>
      <c r="AD62" s="23">
        <f>Master_Data[[#This Row],[Net_Sales]]-(Master_Data[[#This Row],[Qty]]*Master_Data[[#This Row],[Cost_Price]])</f>
        <v>328.51199999999972</v>
      </c>
    </row>
    <row r="63" spans="1:30" ht="15">
      <c r="A63" s="13" t="s">
        <v>184</v>
      </c>
      <c r="B63" s="28">
        <f>DATEVALUE(Master_Data[[#This Row],[Sale_Date]])</f>
        <v>46269</v>
      </c>
      <c r="C63" s="13" t="s">
        <v>92</v>
      </c>
      <c r="D63" s="13" t="s">
        <v>153</v>
      </c>
      <c r="E63" s="13" t="str">
        <f>UPPER(TRIM(Sales_Raw!$F63))</f>
        <v>P1020</v>
      </c>
      <c r="F63" s="13" t="s">
        <v>73</v>
      </c>
      <c r="G63" s="13">
        <v>1</v>
      </c>
      <c r="H63" s="14">
        <v>426.84</v>
      </c>
      <c r="I63" s="15">
        <v>0.15</v>
      </c>
      <c r="J63" s="13" t="str">
        <f>UPPER(TRIM(Sales_Raw!$K63))</f>
        <v>CASH</v>
      </c>
      <c r="K63" s="13" t="s">
        <v>14</v>
      </c>
      <c r="L63" s="13" t="str">
        <f>PROPER(TRIM(Sales_Raw!$M63))</f>
        <v>Fairlands</v>
      </c>
      <c r="M63" s="13" t="s">
        <v>15</v>
      </c>
      <c r="N63" s="12" t="s">
        <v>53</v>
      </c>
      <c r="O63" s="13" t="s">
        <v>65</v>
      </c>
      <c r="P63" s="16" t="str">
        <f>VLOOKUP(Sales_Raw!$E63,ProductsMasterTable[#All],2,FALSE)</f>
        <v>Tea 250g</v>
      </c>
      <c r="Q63" s="16" t="str">
        <f>VLOOKUP(Sales_Raw!$E63,ProductsMasterTable[#All],3,FALSE)</f>
        <v>Beverages</v>
      </c>
      <c r="R63" s="16" t="str">
        <f>VLOOKUP(Sales_Raw!$E63,ProductsMasterTable[#All],4,FALSE)</f>
        <v>ITC</v>
      </c>
      <c r="S63" s="16">
        <f>VLOOKUP(Sales_Raw!$E63,ProductsMasterTable[#All],5,FALSE)</f>
        <v>348.36</v>
      </c>
      <c r="T63" s="16">
        <f>VLOOKUP(Sales_Raw!$E63,ProductsMasterTable[#All],6,FALSE)</f>
        <v>454.67</v>
      </c>
      <c r="U63" s="16" t="str">
        <f>VLOOKUP(Sales_Raw!$E63,ProductsMasterTable[#All],7,FALSE)</f>
        <v>Metro Supply Co</v>
      </c>
      <c r="V63" s="16" t="str">
        <f>IFERROR(VLOOKUP(Sales_Raw!$D63,CustomersMasterTable[#All],2,FALSE),"Guest")</f>
        <v>Janani M</v>
      </c>
      <c r="W63" s="16" t="str">
        <f>IFERROR(VLOOKUP(Sales_Raw!$D63,CustomersMasterTable[#All],3,FALSE),"Guest")</f>
        <v>Male</v>
      </c>
      <c r="X63" s="16">
        <f>IFERROR(VLOOKUP(Sales_Raw!$D63,CustomersMasterTable[#All],4,FALSE),"Guest")</f>
        <v>41</v>
      </c>
      <c r="Y63" s="16" t="str">
        <f>IFERROR(VLOOKUP(Sales_Raw!$D63,CustomersMasterTable[#All],5,FALSE),"Guest")</f>
        <v>Erode</v>
      </c>
      <c r="Z63" s="16" t="str">
        <f>IFERROR(VLOOKUP(Sales_Raw!$D63,CustomersMasterTable[#All],6,FALSE),"Guest")</f>
        <v>Regular</v>
      </c>
      <c r="AA63" s="18">
        <f>IFERROR(VLOOKUP(Sales_Raw!$D63,CustomersMasterTable[#All],7,FALSE),"Guest")</f>
        <v>46201</v>
      </c>
      <c r="AB63" s="23">
        <f>Master_Data[[#This Row],[Qty]]*Master_Data[[#This Row],[Unit_Price]]</f>
        <v>426.84</v>
      </c>
      <c r="AC63" s="23">
        <f>Master_Data[[#This Row],[Gross_ Sales]]*(1-Master_Data[[#This Row],[Discount Percentage]])</f>
        <v>362.81399999999996</v>
      </c>
      <c r="AD63" s="23">
        <f>Master_Data[[#This Row],[Net_Sales]]-(Master_Data[[#This Row],[Qty]]*Master_Data[[#This Row],[Cost_Price]])</f>
        <v>14.453999999999951</v>
      </c>
    </row>
    <row r="64" spans="1:30" ht="15">
      <c r="A64" s="8" t="s">
        <v>185</v>
      </c>
      <c r="B64" s="27">
        <f>DATEVALUE(Master_Data[[#This Row],[Sale_Date]])</f>
        <v>46262</v>
      </c>
      <c r="C64" s="8" t="s">
        <v>142</v>
      </c>
      <c r="D64" s="8" t="s">
        <v>186</v>
      </c>
      <c r="E64" s="8" t="str">
        <f>UPPER(TRIM(Sales_Raw!$F64))</f>
        <v>P1025</v>
      </c>
      <c r="F64" s="8" t="s">
        <v>154</v>
      </c>
      <c r="G64" s="8">
        <v>6</v>
      </c>
      <c r="H64" s="9">
        <v>215.42</v>
      </c>
      <c r="I64" s="10">
        <v>0</v>
      </c>
      <c r="J64" s="8" t="str">
        <f>UPPER(TRIM(Sales_Raw!$K64))</f>
        <v>CASH</v>
      </c>
      <c r="K64" s="8" t="s">
        <v>14</v>
      </c>
      <c r="L64" s="8" t="str">
        <f>PROPER(TRIM(Sales_Raw!$M64))</f>
        <v>Fairlands</v>
      </c>
      <c r="M64" s="8" t="s">
        <v>15</v>
      </c>
      <c r="N64" s="7" t="s">
        <v>16</v>
      </c>
      <c r="O64" s="8" t="s">
        <v>80</v>
      </c>
      <c r="P64" s="11" t="str">
        <f>VLOOKUP(Sales_Raw!$E64,ProductsMasterTable[#All],2,FALSE)</f>
        <v>Handwash 250ml</v>
      </c>
      <c r="Q64" s="11" t="str">
        <f>VLOOKUP(Sales_Raw!$E64,ProductsMasterTable[#All],3,FALSE)</f>
        <v>Personal Care</v>
      </c>
      <c r="R64" s="11" t="str">
        <f>VLOOKUP(Sales_Raw!$E64,ProductsMasterTable[#All],4,FALSE)</f>
        <v>Britannia</v>
      </c>
      <c r="S64" s="11">
        <f>VLOOKUP(Sales_Raw!$E64,ProductsMasterTable[#All],5,FALSE)</f>
        <v>163.52000000000001</v>
      </c>
      <c r="T64" s="11">
        <f>VLOOKUP(Sales_Raw!$E64,ProductsMasterTable[#All],6,FALSE)</f>
        <v>220.65</v>
      </c>
      <c r="U64" s="11" t="str">
        <f>VLOOKUP(Sales_Raw!$E64,ProductsMasterTable[#All],7,FALSE)</f>
        <v>Sri Ganesh Agencies</v>
      </c>
      <c r="V64" s="11" t="str">
        <f>IFERROR(VLOOKUP(Sales_Raw!$D64,CustomersMasterTable[#All],2,FALSE),"Guest")</f>
        <v>Divya Raj</v>
      </c>
      <c r="W64" s="11" t="str">
        <f>IFERROR(VLOOKUP(Sales_Raw!$D64,CustomersMasterTable[#All],3,FALSE),"Guest")</f>
        <v>Female</v>
      </c>
      <c r="X64" s="11">
        <f>IFERROR(VLOOKUP(Sales_Raw!$D64,CustomersMasterTable[#All],4,FALSE),"Guest")</f>
        <v>31</v>
      </c>
      <c r="Y64" s="11" t="str">
        <f>IFERROR(VLOOKUP(Sales_Raw!$D64,CustomersMasterTable[#All],5,FALSE),"Guest")</f>
        <v>Dharmapuri</v>
      </c>
      <c r="Z64" s="11" t="str">
        <f>IFERROR(VLOOKUP(Sales_Raw!$D64,CustomersMasterTable[#All],6,FALSE),"Guest")</f>
        <v>Silver</v>
      </c>
      <c r="AA64" s="17">
        <f>IFERROR(VLOOKUP(Sales_Raw!$D64,CustomersMasterTable[#All],7,FALSE),"Guest")</f>
        <v>45863</v>
      </c>
      <c r="AB64" s="23">
        <f>Master_Data[[#This Row],[Qty]]*Master_Data[[#This Row],[Unit_Price]]</f>
        <v>1292.52</v>
      </c>
      <c r="AC64" s="23">
        <f>Master_Data[[#This Row],[Gross_ Sales]]*(1-Master_Data[[#This Row],[Discount Percentage]])</f>
        <v>1292.52</v>
      </c>
      <c r="AD64" s="23">
        <f>Master_Data[[#This Row],[Net_Sales]]-(Master_Data[[#This Row],[Qty]]*Master_Data[[#This Row],[Cost_Price]])</f>
        <v>311.39999999999986</v>
      </c>
    </row>
    <row r="65" spans="1:30" ht="15">
      <c r="A65" s="13" t="s">
        <v>187</v>
      </c>
      <c r="B65" s="28">
        <f>DATEVALUE(Master_Data[[#This Row],[Sale_Date]])</f>
        <v>46236</v>
      </c>
      <c r="C65" s="13" t="s">
        <v>151</v>
      </c>
      <c r="D65" s="13" t="s">
        <v>153</v>
      </c>
      <c r="E65" s="13" t="str">
        <f>UPPER(TRIM(Sales_Raw!$F65))</f>
        <v>P1011</v>
      </c>
      <c r="F65" s="13" t="s">
        <v>57</v>
      </c>
      <c r="G65" s="13">
        <v>1</v>
      </c>
      <c r="H65" s="14">
        <v>466</v>
      </c>
      <c r="I65" s="15">
        <v>0</v>
      </c>
      <c r="J65" s="13" t="str">
        <f>UPPER(TRIM(Sales_Raw!$K65))</f>
        <v>CASH</v>
      </c>
      <c r="K65" s="13" t="s">
        <v>79</v>
      </c>
      <c r="L65" s="13" t="str">
        <f>PROPER(TRIM(Sales_Raw!$M65))</f>
        <v>Fairlands</v>
      </c>
      <c r="M65" s="13" t="s">
        <v>15</v>
      </c>
      <c r="N65" s="12" t="s">
        <v>24</v>
      </c>
      <c r="O65" s="13" t="s">
        <v>17</v>
      </c>
      <c r="P65" s="16" t="str">
        <f>VLOOKUP(Sales_Raw!$E65,ProductsMasterTable[#All],2,FALSE)</f>
        <v>Cheese Slices</v>
      </c>
      <c r="Q65" s="16" t="str">
        <f>VLOOKUP(Sales_Raw!$E65,ProductsMasterTable[#All],3,FALSE)</f>
        <v>Dairy</v>
      </c>
      <c r="R65" s="16" t="str">
        <f>VLOOKUP(Sales_Raw!$E65,ProductsMasterTable[#All],4,FALSE)</f>
        <v>Cavin's</v>
      </c>
      <c r="S65" s="16">
        <f>VLOOKUP(Sales_Raw!$E65,ProductsMasterTable[#All],5,FALSE)</f>
        <v>409.19</v>
      </c>
      <c r="T65" s="16">
        <f>VLOOKUP(Sales_Raw!$E65,ProductsMasterTable[#All],6,FALSE)</f>
        <v>493.92</v>
      </c>
      <c r="U65" s="16" t="str">
        <f>VLOOKUP(Sales_Raw!$E65,ProductsMasterTable[#All],7,FALSE)</f>
        <v>Metro Supply Co</v>
      </c>
      <c r="V65" s="16" t="str">
        <f>IFERROR(VLOOKUP(Sales_Raw!$D65,CustomersMasterTable[#All],2,FALSE),"Guest")</f>
        <v>Janani M</v>
      </c>
      <c r="W65" s="16" t="str">
        <f>IFERROR(VLOOKUP(Sales_Raw!$D65,CustomersMasterTable[#All],3,FALSE),"Guest")</f>
        <v>Male</v>
      </c>
      <c r="X65" s="16">
        <f>IFERROR(VLOOKUP(Sales_Raw!$D65,CustomersMasterTable[#All],4,FALSE),"Guest")</f>
        <v>41</v>
      </c>
      <c r="Y65" s="16" t="str">
        <f>IFERROR(VLOOKUP(Sales_Raw!$D65,CustomersMasterTable[#All],5,FALSE),"Guest")</f>
        <v>Erode</v>
      </c>
      <c r="Z65" s="16" t="str">
        <f>IFERROR(VLOOKUP(Sales_Raw!$D65,CustomersMasterTable[#All],6,FALSE),"Guest")</f>
        <v>Regular</v>
      </c>
      <c r="AA65" s="18">
        <f>IFERROR(VLOOKUP(Sales_Raw!$D65,CustomersMasterTable[#All],7,FALSE),"Guest")</f>
        <v>46201</v>
      </c>
      <c r="AB65" s="23">
        <f>Master_Data[[#This Row],[Qty]]*Master_Data[[#This Row],[Unit_Price]]</f>
        <v>466</v>
      </c>
      <c r="AC65" s="23">
        <f>Master_Data[[#This Row],[Gross_ Sales]]*(1-Master_Data[[#This Row],[Discount Percentage]])</f>
        <v>466</v>
      </c>
      <c r="AD65" s="23">
        <f>Master_Data[[#This Row],[Net_Sales]]-(Master_Data[[#This Row],[Qty]]*Master_Data[[#This Row],[Cost_Price]])</f>
        <v>56.81</v>
      </c>
    </row>
    <row r="66" spans="1:30" ht="15">
      <c r="A66" s="8" t="s">
        <v>188</v>
      </c>
      <c r="B66" s="27">
        <f>DATEVALUE(Master_Data[[#This Row],[Sale_Date]])</f>
        <v>46268</v>
      </c>
      <c r="C66" s="8" t="s">
        <v>118</v>
      </c>
      <c r="D66" s="8" t="s">
        <v>189</v>
      </c>
      <c r="E66" s="8" t="str">
        <f>UPPER(TRIM(Sales_Raw!$F66))</f>
        <v>P1019</v>
      </c>
      <c r="F66" s="8" t="s">
        <v>84</v>
      </c>
      <c r="G66" s="8">
        <v>6</v>
      </c>
      <c r="H66" s="9">
        <v>378.85</v>
      </c>
      <c r="I66" s="10">
        <v>0</v>
      </c>
      <c r="J66" s="8" t="str">
        <f>UPPER(TRIM(Sales_Raw!$K66))</f>
        <v>UPI</v>
      </c>
      <c r="K66" s="8" t="s">
        <v>22</v>
      </c>
      <c r="L66" s="8" t="str">
        <f>PROPER(TRIM(Sales_Raw!$M66))</f>
        <v>Fairlands</v>
      </c>
      <c r="M66" s="8" t="s">
        <v>15</v>
      </c>
      <c r="N66" s="7" t="s">
        <v>41</v>
      </c>
      <c r="O66" s="8" t="s">
        <v>65</v>
      </c>
      <c r="P66" s="11" t="str">
        <f>VLOOKUP(Sales_Raw!$E66,ProductsMasterTable[#All],2,FALSE)</f>
        <v>Cola 750ml</v>
      </c>
      <c r="Q66" s="11" t="str">
        <f>VLOOKUP(Sales_Raw!$E66,ProductsMasterTable[#All],3,FALSE)</f>
        <v>Beverages</v>
      </c>
      <c r="R66" s="11" t="str">
        <f>VLOOKUP(Sales_Raw!$E66,ProductsMasterTable[#All],4,FALSE)</f>
        <v>Aachi</v>
      </c>
      <c r="S66" s="11">
        <f>VLOOKUP(Sales_Raw!$E66,ProductsMasterTable[#All],5,FALSE)</f>
        <v>293.20999999999998</v>
      </c>
      <c r="T66" s="11">
        <f>VLOOKUP(Sales_Raw!$E66,ProductsMasterTable[#All],6,FALSE)</f>
        <v>385.24</v>
      </c>
      <c r="U66" s="11" t="str">
        <f>VLOOKUP(Sales_Raw!$E66,ProductsMasterTable[#All],7,FALSE)</f>
        <v>Kongu Distributors</v>
      </c>
      <c r="V66" s="11" t="str">
        <f>IFERROR(VLOOKUP(Sales_Raw!$D66,CustomersMasterTable[#All],2,FALSE),"Guest")</f>
        <v>Harish R</v>
      </c>
      <c r="W66" s="11" t="str">
        <f>IFERROR(VLOOKUP(Sales_Raw!$D66,CustomersMasterTable[#All],3,FALSE),"Guest")</f>
        <v>Male</v>
      </c>
      <c r="X66" s="11">
        <f>IFERROR(VLOOKUP(Sales_Raw!$D66,CustomersMasterTable[#All],4,FALSE),"Guest")</f>
        <v>47</v>
      </c>
      <c r="Y66" s="11" t="str">
        <f>IFERROR(VLOOKUP(Sales_Raw!$D66,CustomersMasterTable[#All],5,FALSE),"Guest")</f>
        <v>Dharmapuri</v>
      </c>
      <c r="Z66" s="11" t="str">
        <f>IFERROR(VLOOKUP(Sales_Raw!$D66,CustomersMasterTable[#All],6,FALSE),"Guest")</f>
        <v>Gold</v>
      </c>
      <c r="AA66" s="17">
        <f>IFERROR(VLOOKUP(Sales_Raw!$D66,CustomersMasterTable[#All],7,FALSE),"Guest")</f>
        <v>45760</v>
      </c>
      <c r="AB66" s="23">
        <f>Master_Data[[#This Row],[Qty]]*Master_Data[[#This Row],[Unit_Price]]</f>
        <v>2273.1000000000004</v>
      </c>
      <c r="AC66" s="23">
        <f>Master_Data[[#This Row],[Gross_ Sales]]*(1-Master_Data[[#This Row],[Discount Percentage]])</f>
        <v>2273.1000000000004</v>
      </c>
      <c r="AD66" s="23">
        <f>Master_Data[[#This Row],[Net_Sales]]-(Master_Data[[#This Row],[Qty]]*Master_Data[[#This Row],[Cost_Price]])</f>
        <v>513.8400000000006</v>
      </c>
    </row>
    <row r="67" spans="1:30" ht="15">
      <c r="A67" s="13" t="s">
        <v>190</v>
      </c>
      <c r="B67" s="28">
        <f>DATEVALUE(Master_Data[[#This Row],[Sale_Date]])</f>
        <v>46259</v>
      </c>
      <c r="C67" s="13" t="s">
        <v>98</v>
      </c>
      <c r="D67" s="13" t="s">
        <v>191</v>
      </c>
      <c r="E67" s="13" t="str">
        <f>UPPER(TRIM(Sales_Raw!$F67))</f>
        <v>P1022</v>
      </c>
      <c r="F67" s="13" t="s">
        <v>140</v>
      </c>
      <c r="G67" s="13">
        <v>2</v>
      </c>
      <c r="H67" s="14">
        <v>122.64</v>
      </c>
      <c r="I67" s="15">
        <v>0.1</v>
      </c>
      <c r="J67" s="13" t="str">
        <f>UPPER(TRIM(Sales_Raw!$K67))</f>
        <v>UPI</v>
      </c>
      <c r="K67" s="13" t="s">
        <v>22</v>
      </c>
      <c r="L67" s="13" t="str">
        <f>PROPER(TRIM(Sales_Raw!$M67))</f>
        <v>Fairlands</v>
      </c>
      <c r="M67" s="13" t="s">
        <v>15</v>
      </c>
      <c r="N67" s="12" t="s">
        <v>35</v>
      </c>
      <c r="O67" s="13" t="s">
        <v>80</v>
      </c>
      <c r="P67" s="16" t="str">
        <f>VLOOKUP(Sales_Raw!$E67,ProductsMasterTable[#All],2,FALSE)</f>
        <v>Bath Soap</v>
      </c>
      <c r="Q67" s="16" t="str">
        <f>VLOOKUP(Sales_Raw!$E67,ProductsMasterTable[#All],3,FALSE)</f>
        <v>Personal Care</v>
      </c>
      <c r="R67" s="16" t="str">
        <f>VLOOKUP(Sales_Raw!$E67,ProductsMasterTable[#All],4,FALSE)</f>
        <v>LocalFresh</v>
      </c>
      <c r="S67" s="16">
        <f>VLOOKUP(Sales_Raw!$E67,ProductsMasterTable[#All],5,FALSE)</f>
        <v>103.48</v>
      </c>
      <c r="T67" s="16">
        <f>VLOOKUP(Sales_Raw!$E67,ProductsMasterTable[#All],6,FALSE)</f>
        <v>127.78</v>
      </c>
      <c r="U67" s="16" t="str">
        <f>VLOOKUP(Sales_Raw!$E67,ProductsMasterTable[#All],7,FALSE)</f>
        <v>Kongu Distributors</v>
      </c>
      <c r="V67" s="16" t="str">
        <f>IFERROR(VLOOKUP(Sales_Raw!$D67,CustomersMasterTable[#All],2,FALSE),"Guest")</f>
        <v>Divya Devi</v>
      </c>
      <c r="W67" s="16" t="str">
        <f>IFERROR(VLOOKUP(Sales_Raw!$D67,CustomersMasterTable[#All],3,FALSE),"Guest")</f>
        <v>Female</v>
      </c>
      <c r="X67" s="16">
        <f>IFERROR(VLOOKUP(Sales_Raw!$D67,CustomersMasterTable[#All],4,FALSE),"Guest")</f>
        <v>60</v>
      </c>
      <c r="Y67" s="16" t="str">
        <f>IFERROR(VLOOKUP(Sales_Raw!$D67,CustomersMasterTable[#All],5,FALSE),"Guest")</f>
        <v>Karur</v>
      </c>
      <c r="Z67" s="16" t="str">
        <f>IFERROR(VLOOKUP(Sales_Raw!$D67,CustomersMasterTable[#All],6,FALSE),"Guest")</f>
        <v>Silver</v>
      </c>
      <c r="AA67" s="18">
        <f>IFERROR(VLOOKUP(Sales_Raw!$D67,CustomersMasterTable[#All],7,FALSE),"Guest")</f>
        <v>45931</v>
      </c>
      <c r="AB67" s="23">
        <f>Master_Data[[#This Row],[Qty]]*Master_Data[[#This Row],[Unit_Price]]</f>
        <v>245.28</v>
      </c>
      <c r="AC67" s="23">
        <f>Master_Data[[#This Row],[Gross_ Sales]]*(1-Master_Data[[#This Row],[Discount Percentage]])</f>
        <v>220.75200000000001</v>
      </c>
      <c r="AD67" s="23">
        <f>Master_Data[[#This Row],[Net_Sales]]-(Master_Data[[#This Row],[Qty]]*Master_Data[[#This Row],[Cost_Price]])</f>
        <v>13.792000000000002</v>
      </c>
    </row>
    <row r="68" spans="1:30" ht="29.25">
      <c r="A68" s="8" t="s">
        <v>192</v>
      </c>
      <c r="B68" s="27">
        <f>DATEVALUE(Master_Data[[#This Row],[Sale_Date]])</f>
        <v>46251</v>
      </c>
      <c r="C68" s="8" t="s">
        <v>56</v>
      </c>
      <c r="D68" s="8" t="s">
        <v>169</v>
      </c>
      <c r="E68" s="8" t="str">
        <f>UPPER(TRIM(Sales_Raw!$F68))</f>
        <v>P1009</v>
      </c>
      <c r="F68" s="8" t="s">
        <v>101</v>
      </c>
      <c r="G68" s="8">
        <v>6</v>
      </c>
      <c r="H68" s="9">
        <v>68.86</v>
      </c>
      <c r="I68" s="10">
        <v>0.05</v>
      </c>
      <c r="J68" s="8" t="str">
        <f>UPPER(TRIM(Sales_Raw!$K68))</f>
        <v>CASH</v>
      </c>
      <c r="K68" s="8" t="s">
        <v>14</v>
      </c>
      <c r="L68" s="8" t="str">
        <f>PROPER(TRIM(Sales_Raw!$M68))</f>
        <v>Suramangalam</v>
      </c>
      <c r="M68" s="8" t="s">
        <v>40</v>
      </c>
      <c r="N68" s="7" t="s">
        <v>41</v>
      </c>
      <c r="O68" s="8" t="s">
        <v>17</v>
      </c>
      <c r="P68" s="11" t="str">
        <f>VLOOKUP(Sales_Raw!$E68,ProductsMasterTable[#All],2,FALSE)</f>
        <v>Paneer 200g</v>
      </c>
      <c r="Q68" s="11" t="str">
        <f>VLOOKUP(Sales_Raw!$E68,ProductsMasterTable[#All],3,FALSE)</f>
        <v>Dairy</v>
      </c>
      <c r="R68" s="11" t="str">
        <f>VLOOKUP(Sales_Raw!$E68,ProductsMasterTable[#All],4,FALSE)</f>
        <v>Surf</v>
      </c>
      <c r="S68" s="11">
        <f>VLOOKUP(Sales_Raw!$E68,ProductsMasterTable[#All],5,FALSE)</f>
        <v>56.88</v>
      </c>
      <c r="T68" s="11">
        <f>VLOOKUP(Sales_Raw!$E68,ProductsMasterTable[#All],6,FALSE)</f>
        <v>74.790000000000006</v>
      </c>
      <c r="U68" s="11" t="str">
        <f>VLOOKUP(Sales_Raw!$E68,ProductsMasterTable[#All],7,FALSE)</f>
        <v>Metro Supply Co</v>
      </c>
      <c r="V68" s="11" t="str">
        <f>IFERROR(VLOOKUP(Sales_Raw!$D68,CustomersMasterTable[#All],2,FALSE),"Guest")</f>
        <v>Anitha Shree</v>
      </c>
      <c r="W68" s="11" t="str">
        <f>IFERROR(VLOOKUP(Sales_Raw!$D68,CustomersMasterTable[#All],3,FALSE),"Guest")</f>
        <v>Male</v>
      </c>
      <c r="X68" s="11">
        <f>IFERROR(VLOOKUP(Sales_Raw!$D68,CustomersMasterTable[#All],4,FALSE),"Guest")</f>
        <v>60</v>
      </c>
      <c r="Y68" s="11" t="str">
        <f>IFERROR(VLOOKUP(Sales_Raw!$D68,CustomersMasterTable[#All],5,FALSE),"Guest")</f>
        <v>Dharmapuri</v>
      </c>
      <c r="Z68" s="11" t="str">
        <f>IFERROR(VLOOKUP(Sales_Raw!$D68,CustomersMasterTable[#All],6,FALSE),"Guest")</f>
        <v>Regular</v>
      </c>
      <c r="AA68" s="17">
        <f>IFERROR(VLOOKUP(Sales_Raw!$D68,CustomersMasterTable[#All],7,FALSE),"Guest")</f>
        <v>45764</v>
      </c>
      <c r="AB68" s="23">
        <f>Master_Data[[#This Row],[Qty]]*Master_Data[[#This Row],[Unit_Price]]</f>
        <v>413.15999999999997</v>
      </c>
      <c r="AC68" s="23">
        <f>Master_Data[[#This Row],[Gross_ Sales]]*(1-Master_Data[[#This Row],[Discount Percentage]])</f>
        <v>392.50199999999995</v>
      </c>
      <c r="AD68" s="23">
        <f>Master_Data[[#This Row],[Net_Sales]]-(Master_Data[[#This Row],[Qty]]*Master_Data[[#This Row],[Cost_Price]])</f>
        <v>51.221999999999923</v>
      </c>
    </row>
    <row r="69" spans="1:30" ht="15">
      <c r="A69" s="13" t="s">
        <v>193</v>
      </c>
      <c r="B69" s="28">
        <f>DATEVALUE(Master_Data[[#This Row],[Sale_Date]])</f>
        <v>46245</v>
      </c>
      <c r="C69" s="13" t="s">
        <v>145</v>
      </c>
      <c r="D69" s="13" t="s">
        <v>490</v>
      </c>
      <c r="E69" s="13" t="str">
        <f>UPPER(TRIM(Sales_Raw!$F69))</f>
        <v>P1015</v>
      </c>
      <c r="F69" s="13" t="s">
        <v>48</v>
      </c>
      <c r="G69" s="13">
        <v>3</v>
      </c>
      <c r="H69" s="14">
        <v>164.13</v>
      </c>
      <c r="I69" s="15">
        <v>0</v>
      </c>
      <c r="J69" s="13" t="str">
        <f>UPPER(TRIM(Sales_Raw!$K69))</f>
        <v>CARD</v>
      </c>
      <c r="K69" s="13" t="s">
        <v>34</v>
      </c>
      <c r="L69" s="13" t="str">
        <f>PROPER(TRIM(Sales_Raw!$M69))</f>
        <v>Hasthampatti</v>
      </c>
      <c r="M69" s="13" t="s">
        <v>23</v>
      </c>
      <c r="N69" s="12" t="s">
        <v>16</v>
      </c>
      <c r="O69" s="13" t="s">
        <v>30</v>
      </c>
      <c r="P69" s="16" t="str">
        <f>VLOOKUP(Sales_Raw!$E69,ProductsMasterTable[#All],2,FALSE)</f>
        <v>Biscuits Pack</v>
      </c>
      <c r="Q69" s="16" t="str">
        <f>VLOOKUP(Sales_Raw!$E69,ProductsMasterTable[#All],3,FALSE)</f>
        <v>Snacks</v>
      </c>
      <c r="R69" s="16" t="str">
        <f>VLOOKUP(Sales_Raw!$E69,ProductsMasterTable[#All],4,FALSE)</f>
        <v>HUL</v>
      </c>
      <c r="S69" s="16">
        <f>VLOOKUP(Sales_Raw!$E69,ProductsMasterTable[#All],5,FALSE)</f>
        <v>129.75</v>
      </c>
      <c r="T69" s="16">
        <f>VLOOKUP(Sales_Raw!$E69,ProductsMasterTable[#All],6,FALSE)</f>
        <v>164.29</v>
      </c>
      <c r="U69" s="16" t="str">
        <f>VLOOKUP(Sales_Raw!$E69,ProductsMasterTable[#All],7,FALSE)</f>
        <v>Kongu Distributors</v>
      </c>
      <c r="V69" s="16" t="str">
        <f>IFERROR(VLOOKUP(Sales_Raw!$D69,CustomersMasterTable[#All],2,FALSE),"Guest")</f>
        <v>Guest</v>
      </c>
      <c r="W69" s="16" t="str">
        <f>IFERROR(VLOOKUP(Sales_Raw!$D69,CustomersMasterTable[#All],3,FALSE),"Guest")</f>
        <v>Guest</v>
      </c>
      <c r="X69" s="16" t="str">
        <f>IFERROR(VLOOKUP(Sales_Raw!$D69,CustomersMasterTable[#All],4,FALSE),"Guest")</f>
        <v>Guest</v>
      </c>
      <c r="Y69" s="16" t="str">
        <f>IFERROR(VLOOKUP(Sales_Raw!$D69,CustomersMasterTable[#All],5,FALSE),"Guest")</f>
        <v>Guest</v>
      </c>
      <c r="Z69" s="16" t="str">
        <f>IFERROR(VLOOKUP(Sales_Raw!$D69,CustomersMasterTable[#All],6,FALSE),"Guest")</f>
        <v>Guest</v>
      </c>
      <c r="AA69" s="18" t="str">
        <f>IFERROR(VLOOKUP(Sales_Raw!$D69,CustomersMasterTable[#All],7,FALSE),"Guest")</f>
        <v>Guest</v>
      </c>
      <c r="AB69" s="23">
        <f>Master_Data[[#This Row],[Qty]]*Master_Data[[#This Row],[Unit_Price]]</f>
        <v>492.39</v>
      </c>
      <c r="AC69" s="23">
        <f>Master_Data[[#This Row],[Gross_ Sales]]*(1-Master_Data[[#This Row],[Discount Percentage]])</f>
        <v>492.39</v>
      </c>
      <c r="AD69" s="23">
        <f>Master_Data[[#This Row],[Net_Sales]]-(Master_Data[[#This Row],[Qty]]*Master_Data[[#This Row],[Cost_Price]])</f>
        <v>103.13999999999999</v>
      </c>
    </row>
    <row r="70" spans="1:30" ht="15">
      <c r="A70" s="8" t="s">
        <v>194</v>
      </c>
      <c r="B70" s="27">
        <f>DATEVALUE(Master_Data[[#This Row],[Sale_Date]])</f>
        <v>46264</v>
      </c>
      <c r="C70" s="8" t="s">
        <v>139</v>
      </c>
      <c r="D70" s="8" t="s">
        <v>183</v>
      </c>
      <c r="E70" s="8" t="str">
        <f>UPPER(TRIM(Sales_Raw!$F70))</f>
        <v>P1010</v>
      </c>
      <c r="F70" s="8" t="s">
        <v>39</v>
      </c>
      <c r="G70" s="8">
        <v>2</v>
      </c>
      <c r="H70" s="9">
        <v>441.03</v>
      </c>
      <c r="I70" s="10">
        <v>0.05</v>
      </c>
      <c r="J70" s="8" t="str">
        <f>UPPER(TRIM(Sales_Raw!$K70))</f>
        <v>UPI</v>
      </c>
      <c r="K70" s="8" t="s">
        <v>22</v>
      </c>
      <c r="L70" s="8" t="str">
        <f>PROPER(TRIM(Sales_Raw!$M70))</f>
        <v>Fairlands</v>
      </c>
      <c r="M70" s="8" t="s">
        <v>15</v>
      </c>
      <c r="N70" s="7" t="s">
        <v>35</v>
      </c>
      <c r="O70" s="8" t="s">
        <v>17</v>
      </c>
      <c r="P70" s="11" t="str">
        <f>VLOOKUP(Sales_Raw!$E70,ProductsMasterTable[#All],2,FALSE)</f>
        <v>Butter 100g</v>
      </c>
      <c r="Q70" s="11" t="str">
        <f>VLOOKUP(Sales_Raw!$E70,ProductsMasterTable[#All],3,FALSE)</f>
        <v>Dairy</v>
      </c>
      <c r="R70" s="11" t="str">
        <f>VLOOKUP(Sales_Raw!$E70,ProductsMasterTable[#All],4,FALSE)</f>
        <v>Cavin's</v>
      </c>
      <c r="S70" s="11">
        <f>VLOOKUP(Sales_Raw!$E70,ProductsMasterTable[#All],5,FALSE)</f>
        <v>342.47</v>
      </c>
      <c r="T70" s="11">
        <f>VLOOKUP(Sales_Raw!$E70,ProductsMasterTable[#All],6,FALSE)</f>
        <v>441.05</v>
      </c>
      <c r="U70" s="11" t="str">
        <f>VLOOKUP(Sales_Raw!$E70,ProductsMasterTable[#All],7,FALSE)</f>
        <v>Salem Wholesale Mart</v>
      </c>
      <c r="V70" s="11" t="str">
        <f>IFERROR(VLOOKUP(Sales_Raw!$D70,CustomersMasterTable[#All],2,FALSE),"Guest")</f>
        <v>Karthik Selvam</v>
      </c>
      <c r="W70" s="11" t="str">
        <f>IFERROR(VLOOKUP(Sales_Raw!$D70,CustomersMasterTable[#All],3,FALSE),"Guest")</f>
        <v>Male</v>
      </c>
      <c r="X70" s="11">
        <f>IFERROR(VLOOKUP(Sales_Raw!$D70,CustomersMasterTable[#All],4,FALSE),"Guest")</f>
        <v>63</v>
      </c>
      <c r="Y70" s="11" t="str">
        <f>IFERROR(VLOOKUP(Sales_Raw!$D70,CustomersMasterTable[#All],5,FALSE),"Guest")</f>
        <v>Karur</v>
      </c>
      <c r="Z70" s="11" t="str">
        <f>IFERROR(VLOOKUP(Sales_Raw!$D70,CustomersMasterTable[#All],6,FALSE),"Guest")</f>
        <v>Regular</v>
      </c>
      <c r="AA70" s="17">
        <f>IFERROR(VLOOKUP(Sales_Raw!$D70,CustomersMasterTable[#All],7,FALSE),"Guest")</f>
        <v>46067</v>
      </c>
      <c r="AB70" s="23">
        <f>Master_Data[[#This Row],[Qty]]*Master_Data[[#This Row],[Unit_Price]]</f>
        <v>882.06</v>
      </c>
      <c r="AC70" s="23">
        <f>Master_Data[[#This Row],[Gross_ Sales]]*(1-Master_Data[[#This Row],[Discount Percentage]])</f>
        <v>837.95699999999988</v>
      </c>
      <c r="AD70" s="23">
        <f>Master_Data[[#This Row],[Net_Sales]]-(Master_Data[[#This Row],[Qty]]*Master_Data[[#This Row],[Cost_Price]])</f>
        <v>153.01699999999983</v>
      </c>
    </row>
    <row r="71" spans="1:30" ht="29.25">
      <c r="A71" s="13" t="s">
        <v>195</v>
      </c>
      <c r="B71" s="28">
        <f>DATEVALUE(Master_Data[[#This Row],[Sale_Date]])</f>
        <v>46271</v>
      </c>
      <c r="C71" s="13" t="s">
        <v>50</v>
      </c>
      <c r="D71" s="13" t="s">
        <v>38</v>
      </c>
      <c r="E71" s="13" t="str">
        <f>UPPER(TRIM(Sales_Raw!$F71))</f>
        <v>P1019</v>
      </c>
      <c r="F71" s="13" t="s">
        <v>84</v>
      </c>
      <c r="G71" s="13">
        <v>3</v>
      </c>
      <c r="H71" s="14">
        <v>385.01</v>
      </c>
      <c r="I71" s="15">
        <v>0</v>
      </c>
      <c r="J71" s="13" t="str">
        <f>UPPER(TRIM(Sales_Raw!$K71))</f>
        <v>UPI</v>
      </c>
      <c r="K71" s="13" t="s">
        <v>22</v>
      </c>
      <c r="L71" s="13" t="str">
        <f>PROPER(TRIM(Sales_Raw!$M71))</f>
        <v>Suramangalam</v>
      </c>
      <c r="M71" s="13" t="s">
        <v>40</v>
      </c>
      <c r="N71" s="12" t="s">
        <v>35</v>
      </c>
      <c r="O71" s="13" t="s">
        <v>65</v>
      </c>
      <c r="P71" s="16" t="str">
        <f>VLOOKUP(Sales_Raw!$E71,ProductsMasterTable[#All],2,FALSE)</f>
        <v>Cola 750ml</v>
      </c>
      <c r="Q71" s="16" t="str">
        <f>VLOOKUP(Sales_Raw!$E71,ProductsMasterTable[#All],3,FALSE)</f>
        <v>Beverages</v>
      </c>
      <c r="R71" s="16" t="str">
        <f>VLOOKUP(Sales_Raw!$E71,ProductsMasterTable[#All],4,FALSE)</f>
        <v>Aachi</v>
      </c>
      <c r="S71" s="16">
        <f>VLOOKUP(Sales_Raw!$E71,ProductsMasterTable[#All],5,FALSE)</f>
        <v>293.20999999999998</v>
      </c>
      <c r="T71" s="16">
        <f>VLOOKUP(Sales_Raw!$E71,ProductsMasterTable[#All],6,FALSE)</f>
        <v>385.24</v>
      </c>
      <c r="U71" s="16" t="str">
        <f>VLOOKUP(Sales_Raw!$E71,ProductsMasterTable[#All],7,FALSE)</f>
        <v>Kongu Distributors</v>
      </c>
      <c r="V71" s="16" t="str">
        <f>IFERROR(VLOOKUP(Sales_Raw!$D71,CustomersMasterTable[#All],2,FALSE),"Guest")</f>
        <v>Janani R</v>
      </c>
      <c r="W71" s="16" t="str">
        <f>IFERROR(VLOOKUP(Sales_Raw!$D71,CustomersMasterTable[#All],3,FALSE),"Guest")</f>
        <v>Male</v>
      </c>
      <c r="X71" s="16">
        <f>IFERROR(VLOOKUP(Sales_Raw!$D71,CustomersMasterTable[#All],4,FALSE),"Guest")</f>
        <v>43</v>
      </c>
      <c r="Y71" s="16" t="str">
        <f>IFERROR(VLOOKUP(Sales_Raw!$D71,CustomersMasterTable[#All],5,FALSE),"Guest")</f>
        <v>Salem</v>
      </c>
      <c r="Z71" s="16" t="str">
        <f>IFERROR(VLOOKUP(Sales_Raw!$D71,CustomersMasterTable[#All],6,FALSE),"Guest")</f>
        <v>Gold</v>
      </c>
      <c r="AA71" s="18">
        <f>IFERROR(VLOOKUP(Sales_Raw!$D71,CustomersMasterTable[#All],7,FALSE),"Guest")</f>
        <v>46241</v>
      </c>
      <c r="AB71" s="23">
        <f>Master_Data[[#This Row],[Qty]]*Master_Data[[#This Row],[Unit_Price]]</f>
        <v>1155.03</v>
      </c>
      <c r="AC71" s="23">
        <f>Master_Data[[#This Row],[Gross_ Sales]]*(1-Master_Data[[#This Row],[Discount Percentage]])</f>
        <v>1155.03</v>
      </c>
      <c r="AD71" s="23">
        <f>Master_Data[[#This Row],[Net_Sales]]-(Master_Data[[#This Row],[Qty]]*Master_Data[[#This Row],[Cost_Price]])</f>
        <v>275.40000000000009</v>
      </c>
    </row>
    <row r="72" spans="1:30" ht="29.25">
      <c r="A72" s="8" t="s">
        <v>196</v>
      </c>
      <c r="B72" s="27">
        <f>DATEVALUE(Master_Data[[#This Row],[Sale_Date]])</f>
        <v>46252</v>
      </c>
      <c r="C72" s="8" t="s">
        <v>197</v>
      </c>
      <c r="D72" s="8" t="s">
        <v>121</v>
      </c>
      <c r="E72" s="8" t="str">
        <f>UPPER(TRIM(Sales_Raw!$F72))</f>
        <v>P1019</v>
      </c>
      <c r="F72" s="8" t="s">
        <v>84</v>
      </c>
      <c r="G72" s="8">
        <v>6</v>
      </c>
      <c r="H72" s="9">
        <v>378.41</v>
      </c>
      <c r="I72" s="10">
        <v>0</v>
      </c>
      <c r="J72" s="8" t="str">
        <f>UPPER(TRIM(Sales_Raw!$K72))</f>
        <v>CARD</v>
      </c>
      <c r="K72" s="8" t="s">
        <v>34</v>
      </c>
      <c r="L72" s="8" t="str">
        <f>PROPER(TRIM(Sales_Raw!$M72))</f>
        <v>Suramangalam</v>
      </c>
      <c r="M72" s="8" t="s">
        <v>40</v>
      </c>
      <c r="N72" s="7" t="s">
        <v>35</v>
      </c>
      <c r="O72" s="8" t="s">
        <v>65</v>
      </c>
      <c r="P72" s="11" t="str">
        <f>VLOOKUP(Sales_Raw!$E72,ProductsMasterTable[#All],2,FALSE)</f>
        <v>Cola 750ml</v>
      </c>
      <c r="Q72" s="11" t="str">
        <f>VLOOKUP(Sales_Raw!$E72,ProductsMasterTable[#All],3,FALSE)</f>
        <v>Beverages</v>
      </c>
      <c r="R72" s="11" t="str">
        <f>VLOOKUP(Sales_Raw!$E72,ProductsMasterTable[#All],4,FALSE)</f>
        <v>Aachi</v>
      </c>
      <c r="S72" s="11">
        <f>VLOOKUP(Sales_Raw!$E72,ProductsMasterTable[#All],5,FALSE)</f>
        <v>293.20999999999998</v>
      </c>
      <c r="T72" s="11">
        <f>VLOOKUP(Sales_Raw!$E72,ProductsMasterTable[#All],6,FALSE)</f>
        <v>385.24</v>
      </c>
      <c r="U72" s="11" t="str">
        <f>VLOOKUP(Sales_Raw!$E72,ProductsMasterTable[#All],7,FALSE)</f>
        <v>Kongu Distributors</v>
      </c>
      <c r="V72" s="11" t="str">
        <f>IFERROR(VLOOKUP(Sales_Raw!$D72,CustomersMasterTable[#All],2,FALSE),"Guest")</f>
        <v>Priya Raj</v>
      </c>
      <c r="W72" s="11" t="str">
        <f>IFERROR(VLOOKUP(Sales_Raw!$D72,CustomersMasterTable[#All],3,FALSE),"Guest")</f>
        <v>Female</v>
      </c>
      <c r="X72" s="11">
        <f>IFERROR(VLOOKUP(Sales_Raw!$D72,CustomersMasterTable[#All],4,FALSE),"Guest")</f>
        <v>28</v>
      </c>
      <c r="Y72" s="11" t="str">
        <f>IFERROR(VLOOKUP(Sales_Raw!$D72,CustomersMasterTable[#All],5,FALSE),"Guest")</f>
        <v>Coimbatore</v>
      </c>
      <c r="Z72" s="11" t="str">
        <f>IFERROR(VLOOKUP(Sales_Raw!$D72,CustomersMasterTable[#All],6,FALSE),"Guest")</f>
        <v>Regular</v>
      </c>
      <c r="AA72" s="17">
        <f>IFERROR(VLOOKUP(Sales_Raw!$D72,CustomersMasterTable[#All],7,FALSE),"Guest")</f>
        <v>45927</v>
      </c>
      <c r="AB72" s="23">
        <f>Master_Data[[#This Row],[Qty]]*Master_Data[[#This Row],[Unit_Price]]</f>
        <v>2270.46</v>
      </c>
      <c r="AC72" s="23">
        <f>Master_Data[[#This Row],[Gross_ Sales]]*(1-Master_Data[[#This Row],[Discount Percentage]])</f>
        <v>2270.46</v>
      </c>
      <c r="AD72" s="23">
        <f>Master_Data[[#This Row],[Net_Sales]]-(Master_Data[[#This Row],[Qty]]*Master_Data[[#This Row],[Cost_Price]])</f>
        <v>511.20000000000027</v>
      </c>
    </row>
    <row r="73" spans="1:30" ht="29.25">
      <c r="A73" s="13" t="s">
        <v>198</v>
      </c>
      <c r="B73" s="28">
        <f>DATEVALUE(Master_Data[[#This Row],[Sale_Date]])</f>
        <v>46253</v>
      </c>
      <c r="C73" s="13" t="s">
        <v>199</v>
      </c>
      <c r="D73" s="13" t="s">
        <v>62</v>
      </c>
      <c r="E73" s="13" t="str">
        <f>UPPER(TRIM(Sales_Raw!$F73))</f>
        <v>P1026</v>
      </c>
      <c r="F73" s="13" t="s">
        <v>108</v>
      </c>
      <c r="G73" s="13">
        <v>2</v>
      </c>
      <c r="H73" s="14">
        <v>271.17</v>
      </c>
      <c r="I73" s="15">
        <v>0</v>
      </c>
      <c r="J73" s="13" t="str">
        <f>UPPER(TRIM(Sales_Raw!$K73))</f>
        <v>UPI</v>
      </c>
      <c r="K73" s="13" t="s">
        <v>22</v>
      </c>
      <c r="L73" s="13" t="str">
        <f>PROPER(TRIM(Sales_Raw!$M73))</f>
        <v>Suramangalam</v>
      </c>
      <c r="M73" s="13" t="s">
        <v>40</v>
      </c>
      <c r="N73" s="12" t="s">
        <v>24</v>
      </c>
      <c r="O73" s="13" t="s">
        <v>25</v>
      </c>
      <c r="P73" s="16" t="str">
        <f>VLOOKUP(Sales_Raw!$E73,ProductsMasterTable[#All],2,FALSE)</f>
        <v>Dishwash Liquid</v>
      </c>
      <c r="Q73" s="16" t="str">
        <f>VLOOKUP(Sales_Raw!$E73,ProductsMasterTable[#All],3,FALSE)</f>
        <v>Household</v>
      </c>
      <c r="R73" s="16" t="str">
        <f>VLOOKUP(Sales_Raw!$E73,ProductsMasterTable[#All],4,FALSE)</f>
        <v>Aavin</v>
      </c>
      <c r="S73" s="16">
        <f>VLOOKUP(Sales_Raw!$E73,ProductsMasterTable[#All],5,FALSE)</f>
        <v>216.39</v>
      </c>
      <c r="T73" s="16">
        <f>VLOOKUP(Sales_Raw!$E73,ProductsMasterTable[#All],6,FALSE)</f>
        <v>279.97000000000003</v>
      </c>
      <c r="U73" s="16" t="str">
        <f>VLOOKUP(Sales_Raw!$E73,ProductsMasterTable[#All],7,FALSE)</f>
        <v>Kongu Distributors</v>
      </c>
      <c r="V73" s="16" t="str">
        <f>IFERROR(VLOOKUP(Sales_Raw!$D73,CustomersMasterTable[#All],2,FALSE),"Guest")</f>
        <v>Divya Shree</v>
      </c>
      <c r="W73" s="16" t="str">
        <f>IFERROR(VLOOKUP(Sales_Raw!$D73,CustomersMasterTable[#All],3,FALSE),"Guest")</f>
        <v>Female</v>
      </c>
      <c r="X73" s="16">
        <f>IFERROR(VLOOKUP(Sales_Raw!$D73,CustomersMasterTable[#All],4,FALSE),"Guest")</f>
        <v>43</v>
      </c>
      <c r="Y73" s="16" t="str">
        <f>IFERROR(VLOOKUP(Sales_Raw!$D73,CustomersMasterTable[#All],5,FALSE),"Guest")</f>
        <v>Dharmapuri</v>
      </c>
      <c r="Z73" s="16" t="str">
        <f>IFERROR(VLOOKUP(Sales_Raw!$D73,CustomersMasterTable[#All],6,FALSE),"Guest")</f>
        <v>Silver</v>
      </c>
      <c r="AA73" s="18">
        <f>IFERROR(VLOOKUP(Sales_Raw!$D73,CustomersMasterTable[#All],7,FALSE),"Guest")</f>
        <v>45969</v>
      </c>
      <c r="AB73" s="23">
        <f>Master_Data[[#This Row],[Qty]]*Master_Data[[#This Row],[Unit_Price]]</f>
        <v>542.34</v>
      </c>
      <c r="AC73" s="23">
        <f>Master_Data[[#This Row],[Gross_ Sales]]*(1-Master_Data[[#This Row],[Discount Percentage]])</f>
        <v>542.34</v>
      </c>
      <c r="AD73" s="23">
        <f>Master_Data[[#This Row],[Net_Sales]]-(Master_Data[[#This Row],[Qty]]*Master_Data[[#This Row],[Cost_Price]])</f>
        <v>109.56000000000006</v>
      </c>
    </row>
    <row r="74" spans="1:30" ht="29.25">
      <c r="A74" s="8" t="s">
        <v>200</v>
      </c>
      <c r="B74" s="27">
        <f>DATEVALUE(Master_Data[[#This Row],[Sale_Date]])</f>
        <v>46251</v>
      </c>
      <c r="C74" s="8" t="s">
        <v>201</v>
      </c>
      <c r="D74" s="8" t="s">
        <v>202</v>
      </c>
      <c r="E74" s="8" t="str">
        <f>UPPER(TRIM(Sales_Raw!$F74))</f>
        <v>P1025</v>
      </c>
      <c r="F74" s="8" t="s">
        <v>154</v>
      </c>
      <c r="G74" s="8">
        <v>6</v>
      </c>
      <c r="H74" s="9">
        <v>216.55</v>
      </c>
      <c r="I74" s="10">
        <v>0.15</v>
      </c>
      <c r="J74" s="8" t="str">
        <f>UPPER(TRIM(Sales_Raw!$K74))</f>
        <v>UPI</v>
      </c>
      <c r="K74" s="8" t="s">
        <v>22</v>
      </c>
      <c r="L74" s="8" t="str">
        <f>PROPER(TRIM(Sales_Raw!$M74))</f>
        <v>Suramangalam</v>
      </c>
      <c r="M74" s="8" t="s">
        <v>40</v>
      </c>
      <c r="N74" s="7" t="s">
        <v>53</v>
      </c>
      <c r="O74" s="8" t="s">
        <v>80</v>
      </c>
      <c r="P74" s="11" t="str">
        <f>VLOOKUP(Sales_Raw!$E74,ProductsMasterTable[#All],2,FALSE)</f>
        <v>Handwash 250ml</v>
      </c>
      <c r="Q74" s="11" t="str">
        <f>VLOOKUP(Sales_Raw!$E74,ProductsMasterTable[#All],3,FALSE)</f>
        <v>Personal Care</v>
      </c>
      <c r="R74" s="11" t="str">
        <f>VLOOKUP(Sales_Raw!$E74,ProductsMasterTable[#All],4,FALSE)</f>
        <v>Britannia</v>
      </c>
      <c r="S74" s="11">
        <f>VLOOKUP(Sales_Raw!$E74,ProductsMasterTable[#All],5,FALSE)</f>
        <v>163.52000000000001</v>
      </c>
      <c r="T74" s="11">
        <f>VLOOKUP(Sales_Raw!$E74,ProductsMasterTable[#All],6,FALSE)</f>
        <v>220.65</v>
      </c>
      <c r="U74" s="11" t="str">
        <f>VLOOKUP(Sales_Raw!$E74,ProductsMasterTable[#All],7,FALSE)</f>
        <v>Sri Ganesh Agencies</v>
      </c>
      <c r="V74" s="11" t="str">
        <f>IFERROR(VLOOKUP(Sales_Raw!$D74,CustomersMasterTable[#All],2,FALSE),"Guest")</f>
        <v>Lokesh Priyan</v>
      </c>
      <c r="W74" s="11" t="str">
        <f>IFERROR(VLOOKUP(Sales_Raw!$D74,CustomersMasterTable[#All],3,FALSE),"Guest")</f>
        <v>Female</v>
      </c>
      <c r="X74" s="11">
        <f>IFERROR(VLOOKUP(Sales_Raw!$D74,CustomersMasterTable[#All],4,FALSE),"Guest")</f>
        <v>19</v>
      </c>
      <c r="Y74" s="11" t="str">
        <f>IFERROR(VLOOKUP(Sales_Raw!$D74,CustomersMasterTable[#All],5,FALSE),"Guest")</f>
        <v>Salem</v>
      </c>
      <c r="Z74" s="11" t="str">
        <f>IFERROR(VLOOKUP(Sales_Raw!$D74,CustomersMasterTable[#All],6,FALSE),"Guest")</f>
        <v>Gold</v>
      </c>
      <c r="AA74" s="17">
        <f>IFERROR(VLOOKUP(Sales_Raw!$D74,CustomersMasterTable[#All],7,FALSE),"Guest")</f>
        <v>45925</v>
      </c>
      <c r="AB74" s="23">
        <f>Master_Data[[#This Row],[Qty]]*Master_Data[[#This Row],[Unit_Price]]</f>
        <v>1299.3000000000002</v>
      </c>
      <c r="AC74" s="23">
        <f>Master_Data[[#This Row],[Gross_ Sales]]*(1-Master_Data[[#This Row],[Discount Percentage]])</f>
        <v>1104.4050000000002</v>
      </c>
      <c r="AD74" s="23">
        <f>Master_Data[[#This Row],[Net_Sales]]-(Master_Data[[#This Row],[Qty]]*Master_Data[[#This Row],[Cost_Price]])</f>
        <v>123.28500000000008</v>
      </c>
    </row>
    <row r="75" spans="1:30" ht="15">
      <c r="A75" s="13" t="s">
        <v>203</v>
      </c>
      <c r="B75" s="28">
        <f>DATEVALUE(Master_Data[[#This Row],[Sale_Date]])</f>
        <v>46237</v>
      </c>
      <c r="C75" s="13" t="s">
        <v>204</v>
      </c>
      <c r="D75" s="13" t="s">
        <v>205</v>
      </c>
      <c r="E75" s="13" t="str">
        <f>UPPER(TRIM(Sales_Raw!$F75))</f>
        <v>P1026</v>
      </c>
      <c r="F75" s="13" t="s">
        <v>108</v>
      </c>
      <c r="G75" s="13">
        <v>4</v>
      </c>
      <c r="H75" s="14">
        <v>258.32</v>
      </c>
      <c r="I75" s="15">
        <v>0</v>
      </c>
      <c r="J75" s="13" t="str">
        <f>UPPER(TRIM(Sales_Raw!$K75))</f>
        <v>CARD</v>
      </c>
      <c r="K75" s="13" t="s">
        <v>34</v>
      </c>
      <c r="L75" s="13" t="str">
        <f>PROPER(TRIM(Sales_Raw!$M75))</f>
        <v>Fairlands</v>
      </c>
      <c r="M75" s="13" t="s">
        <v>15</v>
      </c>
      <c r="N75" s="12" t="s">
        <v>53</v>
      </c>
      <c r="O75" s="13" t="s">
        <v>25</v>
      </c>
      <c r="P75" s="16" t="str">
        <f>VLOOKUP(Sales_Raw!$E75,ProductsMasterTable[#All],2,FALSE)</f>
        <v>Dishwash Liquid</v>
      </c>
      <c r="Q75" s="16" t="str">
        <f>VLOOKUP(Sales_Raw!$E75,ProductsMasterTable[#All],3,FALSE)</f>
        <v>Household</v>
      </c>
      <c r="R75" s="16" t="str">
        <f>VLOOKUP(Sales_Raw!$E75,ProductsMasterTable[#All],4,FALSE)</f>
        <v>Aavin</v>
      </c>
      <c r="S75" s="16">
        <f>VLOOKUP(Sales_Raw!$E75,ProductsMasterTable[#All],5,FALSE)</f>
        <v>216.39</v>
      </c>
      <c r="T75" s="16">
        <f>VLOOKUP(Sales_Raw!$E75,ProductsMasterTable[#All],6,FALSE)</f>
        <v>279.97000000000003</v>
      </c>
      <c r="U75" s="16" t="str">
        <f>VLOOKUP(Sales_Raw!$E75,ProductsMasterTable[#All],7,FALSE)</f>
        <v>Kongu Distributors</v>
      </c>
      <c r="V75" s="16" t="str">
        <f>IFERROR(VLOOKUP(Sales_Raw!$D75,CustomersMasterTable[#All],2,FALSE),"Guest")</f>
        <v>Nithya S</v>
      </c>
      <c r="W75" s="16" t="str">
        <f>IFERROR(VLOOKUP(Sales_Raw!$D75,CustomersMasterTable[#All],3,FALSE),"Guest")</f>
        <v>Male</v>
      </c>
      <c r="X75" s="16">
        <f>IFERROR(VLOOKUP(Sales_Raw!$D75,CustomersMasterTable[#All],4,FALSE),"Guest")</f>
        <v>36</v>
      </c>
      <c r="Y75" s="16" t="str">
        <f>IFERROR(VLOOKUP(Sales_Raw!$D75,CustomersMasterTable[#All],5,FALSE),"Guest")</f>
        <v>Erode</v>
      </c>
      <c r="Z75" s="16" t="str">
        <f>IFERROR(VLOOKUP(Sales_Raw!$D75,CustomersMasterTable[#All],6,FALSE),"Guest")</f>
        <v>Gold</v>
      </c>
      <c r="AA75" s="18">
        <f>IFERROR(VLOOKUP(Sales_Raw!$D75,CustomersMasterTable[#All],7,FALSE),"Guest")</f>
        <v>46251</v>
      </c>
      <c r="AB75" s="23">
        <f>Master_Data[[#This Row],[Qty]]*Master_Data[[#This Row],[Unit_Price]]</f>
        <v>1033.28</v>
      </c>
      <c r="AC75" s="23">
        <f>Master_Data[[#This Row],[Gross_ Sales]]*(1-Master_Data[[#This Row],[Discount Percentage]])</f>
        <v>1033.28</v>
      </c>
      <c r="AD75" s="23">
        <f>Master_Data[[#This Row],[Net_Sales]]-(Master_Data[[#This Row],[Qty]]*Master_Data[[#This Row],[Cost_Price]])</f>
        <v>167.72000000000003</v>
      </c>
    </row>
    <row r="76" spans="1:30" ht="15">
      <c r="A76" s="8" t="s">
        <v>206</v>
      </c>
      <c r="B76" s="27">
        <f>DATEVALUE(Master_Data[[#This Row],[Sale_Date]])</f>
        <v>46253</v>
      </c>
      <c r="C76" s="8" t="s">
        <v>199</v>
      </c>
      <c r="D76" s="8" t="s">
        <v>20</v>
      </c>
      <c r="E76" s="8" t="str">
        <f>UPPER(TRIM(Sales_Raw!$F76))</f>
        <v>P1024</v>
      </c>
      <c r="F76" s="8" t="s">
        <v>207</v>
      </c>
      <c r="G76" s="8">
        <v>4</v>
      </c>
      <c r="H76" s="9">
        <v>144.85</v>
      </c>
      <c r="I76" s="10">
        <v>0</v>
      </c>
      <c r="J76" s="8" t="str">
        <f>UPPER(TRIM(Sales_Raw!$K76))</f>
        <v>CARD</v>
      </c>
      <c r="K76" s="8" t="s">
        <v>34</v>
      </c>
      <c r="L76" s="8" t="str">
        <f>PROPER(TRIM(Sales_Raw!$M76))</f>
        <v>Hasthampatti</v>
      </c>
      <c r="M76" s="8" t="s">
        <v>23</v>
      </c>
      <c r="N76" s="7" t="s">
        <v>41</v>
      </c>
      <c r="O76" s="8" t="s">
        <v>80</v>
      </c>
      <c r="P76" s="11" t="str">
        <f>VLOOKUP(Sales_Raw!$E76,ProductsMasterTable[#All],2,FALSE)</f>
        <v>Toothpaste 150g</v>
      </c>
      <c r="Q76" s="11" t="str">
        <f>VLOOKUP(Sales_Raw!$E76,ProductsMasterTable[#All],3,FALSE)</f>
        <v>Personal Care</v>
      </c>
      <c r="R76" s="11" t="str">
        <f>VLOOKUP(Sales_Raw!$E76,ProductsMasterTable[#All],4,FALSE)</f>
        <v>Surf</v>
      </c>
      <c r="S76" s="11">
        <f>VLOOKUP(Sales_Raw!$E76,ProductsMasterTable[#All],5,FALSE)</f>
        <v>123.62</v>
      </c>
      <c r="T76" s="11">
        <f>VLOOKUP(Sales_Raw!$E76,ProductsMasterTable[#All],6,FALSE)</f>
        <v>155.08000000000001</v>
      </c>
      <c r="U76" s="11" t="str">
        <f>VLOOKUP(Sales_Raw!$E76,ProductsMasterTable[#All],7,FALSE)</f>
        <v>FreshLine Traders</v>
      </c>
      <c r="V76" s="11" t="str">
        <f>IFERROR(VLOOKUP(Sales_Raw!$D76,CustomersMasterTable[#All],2,FALSE),"Guest")</f>
        <v>Gayathri Kumar</v>
      </c>
      <c r="W76" s="11" t="str">
        <f>IFERROR(VLOOKUP(Sales_Raw!$D76,CustomersMasterTable[#All],3,FALSE),"Guest")</f>
        <v>Female</v>
      </c>
      <c r="X76" s="11">
        <f>IFERROR(VLOOKUP(Sales_Raw!$D76,CustomersMasterTable[#All],4,FALSE),"Guest")</f>
        <v>21</v>
      </c>
      <c r="Y76" s="11" t="str">
        <f>IFERROR(VLOOKUP(Sales_Raw!$D76,CustomersMasterTable[#All],5,FALSE),"Guest")</f>
        <v>Salem</v>
      </c>
      <c r="Z76" s="11" t="str">
        <f>IFERROR(VLOOKUP(Sales_Raw!$D76,CustomersMasterTable[#All],6,FALSE),"Guest")</f>
        <v>Silver</v>
      </c>
      <c r="AA76" s="17">
        <f>IFERROR(VLOOKUP(Sales_Raw!$D76,CustomersMasterTable[#All],7,FALSE),"Guest")</f>
        <v>46172</v>
      </c>
      <c r="AB76" s="23">
        <f>Master_Data[[#This Row],[Qty]]*Master_Data[[#This Row],[Unit_Price]]</f>
        <v>579.4</v>
      </c>
      <c r="AC76" s="23">
        <f>Master_Data[[#This Row],[Gross_ Sales]]*(1-Master_Data[[#This Row],[Discount Percentage]])</f>
        <v>579.4</v>
      </c>
      <c r="AD76" s="23">
        <f>Master_Data[[#This Row],[Net_Sales]]-(Master_Data[[#This Row],[Qty]]*Master_Data[[#This Row],[Cost_Price]])</f>
        <v>84.919999999999959</v>
      </c>
    </row>
    <row r="77" spans="1:30" ht="29.25">
      <c r="A77" s="13" t="s">
        <v>208</v>
      </c>
      <c r="B77" s="28">
        <f>DATEVALUE(Master_Data[[#This Row],[Sale_Date]])</f>
        <v>46267</v>
      </c>
      <c r="C77" s="13" t="s">
        <v>86</v>
      </c>
      <c r="D77" s="13" t="s">
        <v>209</v>
      </c>
      <c r="E77" s="13" t="str">
        <f>UPPER(TRIM(Sales_Raw!$F77))</f>
        <v>P1009</v>
      </c>
      <c r="F77" s="13" t="s">
        <v>101</v>
      </c>
      <c r="G77" s="13">
        <v>2</v>
      </c>
      <c r="H77" s="14">
        <v>70.34</v>
      </c>
      <c r="I77" s="15">
        <v>0.05</v>
      </c>
      <c r="J77" s="13" t="str">
        <f>UPPER(TRIM(Sales_Raw!$K77))</f>
        <v>CASH</v>
      </c>
      <c r="K77" s="13" t="s">
        <v>14</v>
      </c>
      <c r="L77" s="13" t="str">
        <f>PROPER(TRIM(Sales_Raw!$M77))</f>
        <v>Suramangalam</v>
      </c>
      <c r="M77" s="13" t="s">
        <v>40</v>
      </c>
      <c r="N77" s="12" t="s">
        <v>16</v>
      </c>
      <c r="O77" s="13" t="s">
        <v>54</v>
      </c>
      <c r="P77" s="16" t="str">
        <f>VLOOKUP(Sales_Raw!$E77,ProductsMasterTable[#All],2,FALSE)</f>
        <v>Paneer 200g</v>
      </c>
      <c r="Q77" s="16" t="str">
        <f>VLOOKUP(Sales_Raw!$E77,ProductsMasterTable[#All],3,FALSE)</f>
        <v>Dairy</v>
      </c>
      <c r="R77" s="16" t="str">
        <f>VLOOKUP(Sales_Raw!$E77,ProductsMasterTable[#All],4,FALSE)</f>
        <v>Surf</v>
      </c>
      <c r="S77" s="16">
        <f>VLOOKUP(Sales_Raw!$E77,ProductsMasterTable[#All],5,FALSE)</f>
        <v>56.88</v>
      </c>
      <c r="T77" s="16">
        <f>VLOOKUP(Sales_Raw!$E77,ProductsMasterTable[#All],6,FALSE)</f>
        <v>74.790000000000006</v>
      </c>
      <c r="U77" s="16" t="str">
        <f>VLOOKUP(Sales_Raw!$E77,ProductsMasterTable[#All],7,FALSE)</f>
        <v>Metro Supply Co</v>
      </c>
      <c r="V77" s="16" t="str">
        <f>IFERROR(VLOOKUP(Sales_Raw!$D77,CustomersMasterTable[#All],2,FALSE),"Guest")</f>
        <v>Karthik Shree</v>
      </c>
      <c r="W77" s="16" t="str">
        <f>IFERROR(VLOOKUP(Sales_Raw!$D77,CustomersMasterTable[#All],3,FALSE),"Guest")</f>
        <v>Female</v>
      </c>
      <c r="X77" s="16">
        <f>IFERROR(VLOOKUP(Sales_Raw!$D77,CustomersMasterTable[#All],4,FALSE),"Guest")</f>
        <v>53</v>
      </c>
      <c r="Y77" s="16" t="str">
        <f>IFERROR(VLOOKUP(Sales_Raw!$D77,CustomersMasterTable[#All],5,FALSE),"Guest")</f>
        <v>Coimbatore</v>
      </c>
      <c r="Z77" s="16" t="str">
        <f>IFERROR(VLOOKUP(Sales_Raw!$D77,CustomersMasterTable[#All],6,FALSE),"Guest")</f>
        <v>Gold</v>
      </c>
      <c r="AA77" s="18">
        <f>IFERROR(VLOOKUP(Sales_Raw!$D77,CustomersMasterTable[#All],7,FALSE),"Guest")</f>
        <v>46144</v>
      </c>
      <c r="AB77" s="23">
        <f>Master_Data[[#This Row],[Qty]]*Master_Data[[#This Row],[Unit_Price]]</f>
        <v>140.68</v>
      </c>
      <c r="AC77" s="23">
        <f>Master_Data[[#This Row],[Gross_ Sales]]*(1-Master_Data[[#This Row],[Discount Percentage]])</f>
        <v>133.64599999999999</v>
      </c>
      <c r="AD77" s="23">
        <f>Master_Data[[#This Row],[Net_Sales]]-(Master_Data[[#This Row],[Qty]]*Master_Data[[#This Row],[Cost_Price]])</f>
        <v>19.885999999999981</v>
      </c>
    </row>
    <row r="78" spans="1:30" ht="15">
      <c r="A78" s="8" t="s">
        <v>210</v>
      </c>
      <c r="B78" s="27">
        <f>DATEVALUE(Master_Data[[#This Row],[Sale_Date]])</f>
        <v>46264</v>
      </c>
      <c r="C78" s="8" t="s">
        <v>139</v>
      </c>
      <c r="D78" s="8" t="s">
        <v>28</v>
      </c>
      <c r="E78" s="8" t="str">
        <f>UPPER(TRIM(Sales_Raw!$F78))</f>
        <v>P1005</v>
      </c>
      <c r="F78" s="8" t="s">
        <v>69</v>
      </c>
      <c r="G78" s="8">
        <v>2</v>
      </c>
      <c r="H78" s="9">
        <v>387.49</v>
      </c>
      <c r="I78" s="10">
        <v>0.15</v>
      </c>
      <c r="J78" s="8" t="str">
        <f>UPPER(TRIM(Sales_Raw!$K78))</f>
        <v>CARD</v>
      </c>
      <c r="K78" s="8" t="s">
        <v>34</v>
      </c>
      <c r="L78" s="8" t="str">
        <f>PROPER(TRIM(Sales_Raw!$M78))</f>
        <v>Hasthampatti</v>
      </c>
      <c r="M78" s="8" t="s">
        <v>23</v>
      </c>
      <c r="N78" s="7" t="s">
        <v>41</v>
      </c>
      <c r="O78" s="8" t="s">
        <v>54</v>
      </c>
      <c r="P78" s="11" t="str">
        <f>VLOOKUP(Sales_Raw!$E78,ProductsMasterTable[#All],2,FALSE)</f>
        <v>Sugar 1kg</v>
      </c>
      <c r="Q78" s="11" t="str">
        <f>VLOOKUP(Sales_Raw!$E78,ProductsMasterTable[#All],3,FALSE)</f>
        <v>Staples</v>
      </c>
      <c r="R78" s="11" t="str">
        <f>VLOOKUP(Sales_Raw!$E78,ProductsMasterTable[#All],4,FALSE)</f>
        <v>ITC</v>
      </c>
      <c r="S78" s="11">
        <f>VLOOKUP(Sales_Raw!$E78,ProductsMasterTable[#All],5,FALSE)</f>
        <v>305.83999999999997</v>
      </c>
      <c r="T78" s="11">
        <f>VLOOKUP(Sales_Raw!$E78,ProductsMasterTable[#All],6,FALSE)</f>
        <v>391.87</v>
      </c>
      <c r="U78" s="11" t="str">
        <f>VLOOKUP(Sales_Raw!$E78,ProductsMasterTable[#All],7,FALSE)</f>
        <v>Kongu Distributors</v>
      </c>
      <c r="V78" s="11" t="str">
        <f>IFERROR(VLOOKUP(Sales_Raw!$D78,CustomersMasterTable[#All],2,FALSE),"Guest")</f>
        <v>Anitha M</v>
      </c>
      <c r="W78" s="11" t="str">
        <f>IFERROR(VLOOKUP(Sales_Raw!$D78,CustomersMasterTable[#All],3,FALSE),"Guest")</f>
        <v>Male</v>
      </c>
      <c r="X78" s="11">
        <f>IFERROR(VLOOKUP(Sales_Raw!$D78,CustomersMasterTable[#All],4,FALSE),"Guest")</f>
        <v>33</v>
      </c>
      <c r="Y78" s="11" t="str">
        <f>IFERROR(VLOOKUP(Sales_Raw!$D78,CustomersMasterTable[#All],5,FALSE),"Guest")</f>
        <v>Dharmapuri</v>
      </c>
      <c r="Z78" s="11" t="str">
        <f>IFERROR(VLOOKUP(Sales_Raw!$D78,CustomersMasterTable[#All],6,FALSE),"Guest")</f>
        <v>Gold</v>
      </c>
      <c r="AA78" s="17">
        <f>IFERROR(VLOOKUP(Sales_Raw!$D78,CustomersMasterTable[#All],7,FALSE),"Guest")</f>
        <v>45745</v>
      </c>
      <c r="AB78" s="23">
        <f>Master_Data[[#This Row],[Qty]]*Master_Data[[#This Row],[Unit_Price]]</f>
        <v>774.98</v>
      </c>
      <c r="AC78" s="23">
        <f>Master_Data[[#This Row],[Gross_ Sales]]*(1-Master_Data[[#This Row],[Discount Percentage]])</f>
        <v>658.73299999999995</v>
      </c>
      <c r="AD78" s="23">
        <f>Master_Data[[#This Row],[Net_Sales]]-(Master_Data[[#This Row],[Qty]]*Master_Data[[#This Row],[Cost_Price]])</f>
        <v>47.052999999999997</v>
      </c>
    </row>
    <row r="79" spans="1:30" ht="15">
      <c r="A79" s="13" t="s">
        <v>211</v>
      </c>
      <c r="B79" s="28">
        <f>DATEVALUE(Master_Data[[#This Row],[Sale_Date]])</f>
        <v>46258</v>
      </c>
      <c r="C79" s="13" t="s">
        <v>71</v>
      </c>
      <c r="D79" s="13" t="s">
        <v>105</v>
      </c>
      <c r="E79" s="13" t="str">
        <f>UPPER(TRIM(Sales_Raw!$F79))</f>
        <v>P1026</v>
      </c>
      <c r="F79" s="13" t="s">
        <v>108</v>
      </c>
      <c r="G79" s="13">
        <v>4</v>
      </c>
      <c r="H79" s="14">
        <v>257.88</v>
      </c>
      <c r="I79" s="15">
        <v>0.1</v>
      </c>
      <c r="J79" s="13" t="str">
        <f>UPPER(TRIM(Sales_Raw!$K79))</f>
        <v>UPI</v>
      </c>
      <c r="K79" s="13" t="s">
        <v>22</v>
      </c>
      <c r="L79" s="13" t="str">
        <f>PROPER(TRIM(Sales_Raw!$M79))</f>
        <v>Hasthampatti</v>
      </c>
      <c r="M79" s="13" t="s">
        <v>23</v>
      </c>
      <c r="N79" s="12" t="s">
        <v>16</v>
      </c>
      <c r="O79" s="13" t="s">
        <v>25</v>
      </c>
      <c r="P79" s="16" t="str">
        <f>VLOOKUP(Sales_Raw!$E79,ProductsMasterTable[#All],2,FALSE)</f>
        <v>Dishwash Liquid</v>
      </c>
      <c r="Q79" s="16" t="str">
        <f>VLOOKUP(Sales_Raw!$E79,ProductsMasterTable[#All],3,FALSE)</f>
        <v>Household</v>
      </c>
      <c r="R79" s="16" t="str">
        <f>VLOOKUP(Sales_Raw!$E79,ProductsMasterTable[#All],4,FALSE)</f>
        <v>Aavin</v>
      </c>
      <c r="S79" s="16">
        <f>VLOOKUP(Sales_Raw!$E79,ProductsMasterTable[#All],5,FALSE)</f>
        <v>216.39</v>
      </c>
      <c r="T79" s="16">
        <f>VLOOKUP(Sales_Raw!$E79,ProductsMasterTable[#All],6,FALSE)</f>
        <v>279.97000000000003</v>
      </c>
      <c r="U79" s="16" t="str">
        <f>VLOOKUP(Sales_Raw!$E79,ProductsMasterTable[#All],7,FALSE)</f>
        <v>Kongu Distributors</v>
      </c>
      <c r="V79" s="16" t="str">
        <f>IFERROR(VLOOKUP(Sales_Raw!$D79,CustomersMasterTable[#All],2,FALSE),"Guest")</f>
        <v>Nithya R</v>
      </c>
      <c r="W79" s="16" t="str">
        <f>IFERROR(VLOOKUP(Sales_Raw!$D79,CustomersMasterTable[#All],3,FALSE),"Guest")</f>
        <v>Male</v>
      </c>
      <c r="X79" s="16">
        <f>IFERROR(VLOOKUP(Sales_Raw!$D79,CustomersMasterTable[#All],4,FALSE),"Guest")</f>
        <v>26</v>
      </c>
      <c r="Y79" s="16" t="str">
        <f>IFERROR(VLOOKUP(Sales_Raw!$D79,CustomersMasterTable[#All],5,FALSE),"Guest")</f>
        <v>Karur</v>
      </c>
      <c r="Z79" s="16" t="str">
        <f>IFERROR(VLOOKUP(Sales_Raw!$D79,CustomersMasterTable[#All],6,FALSE),"Guest")</f>
        <v>Regular</v>
      </c>
      <c r="AA79" s="18">
        <f>IFERROR(VLOOKUP(Sales_Raw!$D79,CustomersMasterTable[#All],7,FALSE),"Guest")</f>
        <v>46220</v>
      </c>
      <c r="AB79" s="23">
        <f>Master_Data[[#This Row],[Qty]]*Master_Data[[#This Row],[Unit_Price]]</f>
        <v>1031.52</v>
      </c>
      <c r="AC79" s="23">
        <f>Master_Data[[#This Row],[Gross_ Sales]]*(1-Master_Data[[#This Row],[Discount Percentage]])</f>
        <v>928.36800000000005</v>
      </c>
      <c r="AD79" s="23">
        <f>Master_Data[[#This Row],[Net_Sales]]-(Master_Data[[#This Row],[Qty]]*Master_Data[[#This Row],[Cost_Price]])</f>
        <v>62.808000000000106</v>
      </c>
    </row>
    <row r="80" spans="1:30" ht="15">
      <c r="A80" s="8" t="s">
        <v>212</v>
      </c>
      <c r="B80" s="27">
        <f>DATEVALUE(Master_Data[[#This Row],[Sale_Date]])</f>
        <v>46251</v>
      </c>
      <c r="C80" s="8" t="s">
        <v>56</v>
      </c>
      <c r="D80" s="8" t="s">
        <v>76</v>
      </c>
      <c r="E80" s="8" t="str">
        <f>UPPER(TRIM(Sales_Raw!$F80))</f>
        <v>P1013</v>
      </c>
      <c r="F80" s="8" t="s">
        <v>176</v>
      </c>
      <c r="G80" s="8">
        <v>6</v>
      </c>
      <c r="H80" s="9">
        <v>107.74</v>
      </c>
      <c r="I80" s="10">
        <v>0</v>
      </c>
      <c r="J80" s="8" t="str">
        <f>UPPER(TRIM(Sales_Raw!$K80))</f>
        <v>CARD</v>
      </c>
      <c r="K80" s="8" t="s">
        <v>34</v>
      </c>
      <c r="L80" s="8" t="str">
        <f>PROPER(TRIM(Sales_Raw!$M80))</f>
        <v>Fairlands</v>
      </c>
      <c r="M80" s="8" t="s">
        <v>15</v>
      </c>
      <c r="N80" s="7" t="s">
        <v>35</v>
      </c>
      <c r="O80" s="8" t="s">
        <v>30</v>
      </c>
      <c r="P80" s="11" t="str">
        <f>VLOOKUP(Sales_Raw!$E80,ProductsMasterTable[#All],2,FALSE)</f>
        <v>Banana Chips</v>
      </c>
      <c r="Q80" s="11" t="str">
        <f>VLOOKUP(Sales_Raw!$E80,ProductsMasterTable[#All],3,FALSE)</f>
        <v>Snacks</v>
      </c>
      <c r="R80" s="11" t="str">
        <f>VLOOKUP(Sales_Raw!$E80,ProductsMasterTable[#All],4,FALSE)</f>
        <v>Tata</v>
      </c>
      <c r="S80" s="11">
        <f>VLOOKUP(Sales_Raw!$E80,ProductsMasterTable[#All],5,FALSE)</f>
        <v>95.3</v>
      </c>
      <c r="T80" s="11">
        <f>VLOOKUP(Sales_Raw!$E80,ProductsMasterTable[#All],6,FALSE)</f>
        <v>108.26</v>
      </c>
      <c r="U80" s="11" t="str">
        <f>VLOOKUP(Sales_Raw!$E80,ProductsMasterTable[#All],7,FALSE)</f>
        <v>Metro Supply Co</v>
      </c>
      <c r="V80" s="11" t="str">
        <f>IFERROR(VLOOKUP(Sales_Raw!$D80,CustomersMasterTable[#All],2,FALSE),"Guest")</f>
        <v>Keerthi R</v>
      </c>
      <c r="W80" s="11" t="str">
        <f>IFERROR(VLOOKUP(Sales_Raw!$D80,CustomersMasterTable[#All],3,FALSE),"Guest")</f>
        <v>Female</v>
      </c>
      <c r="X80" s="11">
        <f>IFERROR(VLOOKUP(Sales_Raw!$D80,CustomersMasterTable[#All],4,FALSE),"Guest")</f>
        <v>67</v>
      </c>
      <c r="Y80" s="11" t="str">
        <f>IFERROR(VLOOKUP(Sales_Raw!$D80,CustomersMasterTable[#All],5,FALSE),"Guest")</f>
        <v>Dharmapuri</v>
      </c>
      <c r="Z80" s="11" t="str">
        <f>IFERROR(VLOOKUP(Sales_Raw!$D80,CustomersMasterTable[#All],6,FALSE),"Guest")</f>
        <v>Gold</v>
      </c>
      <c r="AA80" s="17">
        <f>IFERROR(VLOOKUP(Sales_Raw!$D80,CustomersMasterTable[#All],7,FALSE),"Guest")</f>
        <v>46074</v>
      </c>
      <c r="AB80" s="23">
        <f>Master_Data[[#This Row],[Qty]]*Master_Data[[#This Row],[Unit_Price]]</f>
        <v>646.43999999999994</v>
      </c>
      <c r="AC80" s="23">
        <f>Master_Data[[#This Row],[Gross_ Sales]]*(1-Master_Data[[#This Row],[Discount Percentage]])</f>
        <v>646.43999999999994</v>
      </c>
      <c r="AD80" s="23">
        <f>Master_Data[[#This Row],[Net_Sales]]-(Master_Data[[#This Row],[Qty]]*Master_Data[[#This Row],[Cost_Price]])</f>
        <v>74.639999999999986</v>
      </c>
    </row>
    <row r="81" spans="1:30" ht="29.25">
      <c r="A81" s="13" t="s">
        <v>213</v>
      </c>
      <c r="B81" s="28">
        <f>DATEVALUE(Master_Data[[#This Row],[Sale_Date]])</f>
        <v>46236</v>
      </c>
      <c r="C81" s="13" t="s">
        <v>151</v>
      </c>
      <c r="D81" s="13" t="s">
        <v>191</v>
      </c>
      <c r="E81" s="13" t="str">
        <f>UPPER(TRIM(Sales_Raw!$F81))</f>
        <v>P1029</v>
      </c>
      <c r="F81" s="13" t="s">
        <v>21</v>
      </c>
      <c r="G81" s="13">
        <v>5</v>
      </c>
      <c r="H81" s="14">
        <v>140.53</v>
      </c>
      <c r="I81" s="15">
        <v>0.1</v>
      </c>
      <c r="J81" s="13" t="str">
        <f>UPPER(TRIM(Sales_Raw!$K81))</f>
        <v>UPI</v>
      </c>
      <c r="K81" s="13" t="s">
        <v>22</v>
      </c>
      <c r="L81" s="13" t="str">
        <f>PROPER(TRIM(Sales_Raw!$M81))</f>
        <v>Suramangalam</v>
      </c>
      <c r="M81" s="13" t="s">
        <v>40</v>
      </c>
      <c r="N81" s="12" t="s">
        <v>53</v>
      </c>
      <c r="O81" s="13" t="s">
        <v>25</v>
      </c>
      <c r="P81" s="16" t="str">
        <f>VLOOKUP(Sales_Raw!$E81,ProductsMasterTable[#All],2,FALSE)</f>
        <v>Tissue Roll</v>
      </c>
      <c r="Q81" s="16" t="str">
        <f>VLOOKUP(Sales_Raw!$E81,ProductsMasterTable[#All],3,FALSE)</f>
        <v>Household</v>
      </c>
      <c r="R81" s="16" t="str">
        <f>VLOOKUP(Sales_Raw!$E81,ProductsMasterTable[#All],4,FALSE)</f>
        <v>Aachi</v>
      </c>
      <c r="S81" s="16">
        <f>VLOOKUP(Sales_Raw!$E81,ProductsMasterTable[#All],5,FALSE)</f>
        <v>119.07</v>
      </c>
      <c r="T81" s="16">
        <f>VLOOKUP(Sales_Raw!$E81,ProductsMasterTable[#All],6,FALSE)</f>
        <v>148.51</v>
      </c>
      <c r="U81" s="16" t="str">
        <f>VLOOKUP(Sales_Raw!$E81,ProductsMasterTable[#All],7,FALSE)</f>
        <v>Salem Wholesale Mart</v>
      </c>
      <c r="V81" s="16" t="str">
        <f>IFERROR(VLOOKUP(Sales_Raw!$D81,CustomersMasterTable[#All],2,FALSE),"Guest")</f>
        <v>Divya Devi</v>
      </c>
      <c r="W81" s="16" t="str">
        <f>IFERROR(VLOOKUP(Sales_Raw!$D81,CustomersMasterTable[#All],3,FALSE),"Guest")</f>
        <v>Female</v>
      </c>
      <c r="X81" s="16">
        <f>IFERROR(VLOOKUP(Sales_Raw!$D81,CustomersMasterTable[#All],4,FALSE),"Guest")</f>
        <v>60</v>
      </c>
      <c r="Y81" s="16" t="str">
        <f>IFERROR(VLOOKUP(Sales_Raw!$D81,CustomersMasterTable[#All],5,FALSE),"Guest")</f>
        <v>Karur</v>
      </c>
      <c r="Z81" s="16" t="str">
        <f>IFERROR(VLOOKUP(Sales_Raw!$D81,CustomersMasterTable[#All],6,FALSE),"Guest")</f>
        <v>Silver</v>
      </c>
      <c r="AA81" s="18">
        <f>IFERROR(VLOOKUP(Sales_Raw!$D81,CustomersMasterTable[#All],7,FALSE),"Guest")</f>
        <v>45931</v>
      </c>
      <c r="AB81" s="23">
        <f>Master_Data[[#This Row],[Qty]]*Master_Data[[#This Row],[Unit_Price]]</f>
        <v>702.65</v>
      </c>
      <c r="AC81" s="23">
        <f>Master_Data[[#This Row],[Gross_ Sales]]*(1-Master_Data[[#This Row],[Discount Percentage]])</f>
        <v>632.38499999999999</v>
      </c>
      <c r="AD81" s="23">
        <f>Master_Data[[#This Row],[Net_Sales]]-(Master_Data[[#This Row],[Qty]]*Master_Data[[#This Row],[Cost_Price]])</f>
        <v>37.035000000000082</v>
      </c>
    </row>
    <row r="82" spans="1:30" ht="15">
      <c r="A82" s="8" t="s">
        <v>214</v>
      </c>
      <c r="B82" s="27">
        <f>DATEVALUE(Master_Data[[#This Row],[Sale_Date]])</f>
        <v>46264</v>
      </c>
      <c r="C82" s="8" t="s">
        <v>139</v>
      </c>
      <c r="D82" s="8" t="s">
        <v>209</v>
      </c>
      <c r="E82" s="8" t="str">
        <f>UPPER(TRIM(Sales_Raw!$F82))</f>
        <v>P1023</v>
      </c>
      <c r="F82" s="8" t="s">
        <v>78</v>
      </c>
      <c r="G82" s="8">
        <v>3</v>
      </c>
      <c r="H82" s="9">
        <v>142.37</v>
      </c>
      <c r="I82" s="10">
        <v>0</v>
      </c>
      <c r="J82" s="8" t="str">
        <f>UPPER(TRIM(Sales_Raw!$K82))</f>
        <v>UPI</v>
      </c>
      <c r="K82" s="8" t="s">
        <v>22</v>
      </c>
      <c r="L82" s="8" t="str">
        <f>PROPER(TRIM(Sales_Raw!$M82))</f>
        <v>Fairlands</v>
      </c>
      <c r="M82" s="8" t="s">
        <v>15</v>
      </c>
      <c r="N82" s="7" t="s">
        <v>53</v>
      </c>
      <c r="O82" s="8" t="s">
        <v>80</v>
      </c>
      <c r="P82" s="11" t="str">
        <f>VLOOKUP(Sales_Raw!$E82,ProductsMasterTable[#All],2,FALSE)</f>
        <v>Shampoo 180ml</v>
      </c>
      <c r="Q82" s="11" t="str">
        <f>VLOOKUP(Sales_Raw!$E82,ProductsMasterTable[#All],3,FALSE)</f>
        <v>Personal Care</v>
      </c>
      <c r="R82" s="11" t="str">
        <f>VLOOKUP(Sales_Raw!$E82,ProductsMasterTable[#All],4,FALSE)</f>
        <v>Cavin's</v>
      </c>
      <c r="S82" s="11">
        <f>VLOOKUP(Sales_Raw!$E82,ProductsMasterTable[#All],5,FALSE)</f>
        <v>124.48</v>
      </c>
      <c r="T82" s="11">
        <f>VLOOKUP(Sales_Raw!$E82,ProductsMasterTable[#All],6,FALSE)</f>
        <v>146.47999999999999</v>
      </c>
      <c r="U82" s="11" t="str">
        <f>VLOOKUP(Sales_Raw!$E82,ProductsMasterTable[#All],7,FALSE)</f>
        <v>Sri Ganesh Agencies</v>
      </c>
      <c r="V82" s="11" t="str">
        <f>IFERROR(VLOOKUP(Sales_Raw!$D82,CustomersMasterTable[#All],2,FALSE),"Guest")</f>
        <v>Karthik Shree</v>
      </c>
      <c r="W82" s="11" t="str">
        <f>IFERROR(VLOOKUP(Sales_Raw!$D82,CustomersMasterTable[#All],3,FALSE),"Guest")</f>
        <v>Female</v>
      </c>
      <c r="X82" s="11">
        <f>IFERROR(VLOOKUP(Sales_Raw!$D82,CustomersMasterTable[#All],4,FALSE),"Guest")</f>
        <v>53</v>
      </c>
      <c r="Y82" s="11" t="str">
        <f>IFERROR(VLOOKUP(Sales_Raw!$D82,CustomersMasterTable[#All],5,FALSE),"Guest")</f>
        <v>Coimbatore</v>
      </c>
      <c r="Z82" s="11" t="str">
        <f>IFERROR(VLOOKUP(Sales_Raw!$D82,CustomersMasterTable[#All],6,FALSE),"Guest")</f>
        <v>Gold</v>
      </c>
      <c r="AA82" s="17">
        <f>IFERROR(VLOOKUP(Sales_Raw!$D82,CustomersMasterTable[#All],7,FALSE),"Guest")</f>
        <v>46144</v>
      </c>
      <c r="AB82" s="23">
        <f>Master_Data[[#This Row],[Qty]]*Master_Data[[#This Row],[Unit_Price]]</f>
        <v>427.11</v>
      </c>
      <c r="AC82" s="23">
        <f>Master_Data[[#This Row],[Gross_ Sales]]*(1-Master_Data[[#This Row],[Discount Percentage]])</f>
        <v>427.11</v>
      </c>
      <c r="AD82" s="23">
        <f>Master_Data[[#This Row],[Net_Sales]]-(Master_Data[[#This Row],[Qty]]*Master_Data[[#This Row],[Cost_Price]])</f>
        <v>53.670000000000016</v>
      </c>
    </row>
    <row r="83" spans="1:30" ht="15">
      <c r="A83" s="13" t="s">
        <v>215</v>
      </c>
      <c r="B83" s="28">
        <f>DATEVALUE(Master_Data[[#This Row],[Sale_Date]])</f>
        <v>46254</v>
      </c>
      <c r="C83" s="13" t="s">
        <v>120</v>
      </c>
      <c r="D83" s="13" t="s">
        <v>44</v>
      </c>
      <c r="E83" s="13" t="str">
        <f>UPPER(TRIM(Sales_Raw!$F83))</f>
        <v>P1004</v>
      </c>
      <c r="F83" s="13" t="s">
        <v>159</v>
      </c>
      <c r="G83" s="13">
        <v>1</v>
      </c>
      <c r="H83" s="14">
        <v>131.77000000000001</v>
      </c>
      <c r="I83" s="15">
        <v>0.1</v>
      </c>
      <c r="J83" s="13" t="str">
        <f>UPPER(TRIM(Sales_Raw!$K83))</f>
        <v>UPI</v>
      </c>
      <c r="K83" s="13" t="s">
        <v>64</v>
      </c>
      <c r="L83" s="13" t="str">
        <f>PROPER(TRIM(Sales_Raw!$M83))</f>
        <v>Hasthampatti</v>
      </c>
      <c r="M83" s="13" t="s">
        <v>23</v>
      </c>
      <c r="N83" s="12" t="s">
        <v>35</v>
      </c>
      <c r="O83" s="13" t="s">
        <v>54</v>
      </c>
      <c r="P83" s="16" t="str">
        <f>VLOOKUP(Sales_Raw!$E83,ProductsMasterTable[#All],2,FALSE)</f>
        <v>Urad Dal 1kg</v>
      </c>
      <c r="Q83" s="16" t="str">
        <f>VLOOKUP(Sales_Raw!$E83,ProductsMasterTable[#All],3,FALSE)</f>
        <v>Staples</v>
      </c>
      <c r="R83" s="16" t="str">
        <f>VLOOKUP(Sales_Raw!$E83,ProductsMasterTable[#All],4,FALSE)</f>
        <v>Cavin's</v>
      </c>
      <c r="S83" s="16">
        <f>VLOOKUP(Sales_Raw!$E83,ProductsMasterTable[#All],5,FALSE)</f>
        <v>111.53</v>
      </c>
      <c r="T83" s="16">
        <f>VLOOKUP(Sales_Raw!$E83,ProductsMasterTable[#All],6,FALSE)</f>
        <v>140.36000000000001</v>
      </c>
      <c r="U83" s="16" t="str">
        <f>VLOOKUP(Sales_Raw!$E83,ProductsMasterTable[#All],7,FALSE)</f>
        <v>Kongu Distributors</v>
      </c>
      <c r="V83" s="16" t="str">
        <f>IFERROR(VLOOKUP(Sales_Raw!$D83,CustomersMasterTable[#All],2,FALSE),"Guest")</f>
        <v>Anitha Shree</v>
      </c>
      <c r="W83" s="16" t="str">
        <f>IFERROR(VLOOKUP(Sales_Raw!$D83,CustomersMasterTable[#All],3,FALSE),"Guest")</f>
        <v>Male</v>
      </c>
      <c r="X83" s="16">
        <f>IFERROR(VLOOKUP(Sales_Raw!$D83,CustomersMasterTable[#All],4,FALSE),"Guest")</f>
        <v>63</v>
      </c>
      <c r="Y83" s="16" t="str">
        <f>IFERROR(VLOOKUP(Sales_Raw!$D83,CustomersMasterTable[#All],5,FALSE),"Guest")</f>
        <v>Namakkal</v>
      </c>
      <c r="Z83" s="16" t="str">
        <f>IFERROR(VLOOKUP(Sales_Raw!$D83,CustomersMasterTable[#All],6,FALSE),"Guest")</f>
        <v>Regular</v>
      </c>
      <c r="AA83" s="18">
        <f>IFERROR(VLOOKUP(Sales_Raw!$D83,CustomersMasterTable[#All],7,FALSE),"Guest")</f>
        <v>45928</v>
      </c>
      <c r="AB83" s="23">
        <f>Master_Data[[#This Row],[Qty]]*Master_Data[[#This Row],[Unit_Price]]</f>
        <v>131.77000000000001</v>
      </c>
      <c r="AC83" s="23">
        <f>Master_Data[[#This Row],[Gross_ Sales]]*(1-Master_Data[[#This Row],[Discount Percentage]])</f>
        <v>118.59300000000002</v>
      </c>
      <c r="AD83" s="23">
        <f>Master_Data[[#This Row],[Net_Sales]]-(Master_Data[[#This Row],[Qty]]*Master_Data[[#This Row],[Cost_Price]])</f>
        <v>7.0630000000000166</v>
      </c>
    </row>
    <row r="84" spans="1:30" ht="29.25">
      <c r="A84" s="8" t="s">
        <v>216</v>
      </c>
      <c r="B84" s="27">
        <f>DATEVALUE(Master_Data[[#This Row],[Sale_Date]])</f>
        <v>46258</v>
      </c>
      <c r="C84" s="8" t="s">
        <v>71</v>
      </c>
      <c r="D84" s="8" t="s">
        <v>51</v>
      </c>
      <c r="E84" s="8" t="str">
        <f>UPPER(TRIM(Sales_Raw!$F84))</f>
        <v>P1024</v>
      </c>
      <c r="F84" s="8" t="s">
        <v>207</v>
      </c>
      <c r="G84" s="8">
        <v>6</v>
      </c>
      <c r="H84" s="9">
        <v>154.41</v>
      </c>
      <c r="I84" s="10">
        <v>0.05</v>
      </c>
      <c r="J84" s="8" t="str">
        <f>UPPER(TRIM(Sales_Raw!$K84))</f>
        <v>CARD</v>
      </c>
      <c r="K84" s="8" t="s">
        <v>34</v>
      </c>
      <c r="L84" s="8" t="str">
        <f>PROPER(TRIM(Sales_Raw!$M84))</f>
        <v>Suramangalam</v>
      </c>
      <c r="M84" s="8" t="s">
        <v>40</v>
      </c>
      <c r="N84" s="7" t="s">
        <v>24</v>
      </c>
      <c r="O84" s="8" t="s">
        <v>80</v>
      </c>
      <c r="P84" s="11" t="str">
        <f>VLOOKUP(Sales_Raw!$E84,ProductsMasterTable[#All],2,FALSE)</f>
        <v>Toothpaste 150g</v>
      </c>
      <c r="Q84" s="11" t="str">
        <f>VLOOKUP(Sales_Raw!$E84,ProductsMasterTable[#All],3,FALSE)</f>
        <v>Personal Care</v>
      </c>
      <c r="R84" s="11" t="str">
        <f>VLOOKUP(Sales_Raw!$E84,ProductsMasterTable[#All],4,FALSE)</f>
        <v>Surf</v>
      </c>
      <c r="S84" s="11">
        <f>VLOOKUP(Sales_Raw!$E84,ProductsMasterTable[#All],5,FALSE)</f>
        <v>123.62</v>
      </c>
      <c r="T84" s="11">
        <f>VLOOKUP(Sales_Raw!$E84,ProductsMasterTable[#All],6,FALSE)</f>
        <v>155.08000000000001</v>
      </c>
      <c r="U84" s="11" t="str">
        <f>VLOOKUP(Sales_Raw!$E84,ProductsMasterTable[#All],7,FALSE)</f>
        <v>FreshLine Traders</v>
      </c>
      <c r="V84" s="11" t="str">
        <f>IFERROR(VLOOKUP(Sales_Raw!$D84,CustomersMasterTable[#All],2,FALSE),"Guest")</f>
        <v>Harish Raj</v>
      </c>
      <c r="W84" s="11" t="str">
        <f>IFERROR(VLOOKUP(Sales_Raw!$D84,CustomersMasterTable[#All],3,FALSE),"Guest")</f>
        <v>Male</v>
      </c>
      <c r="X84" s="11">
        <f>IFERROR(VLOOKUP(Sales_Raw!$D84,CustomersMasterTable[#All],4,FALSE),"Guest")</f>
        <v>67</v>
      </c>
      <c r="Y84" s="11" t="str">
        <f>IFERROR(VLOOKUP(Sales_Raw!$D84,CustomersMasterTable[#All],5,FALSE),"Guest")</f>
        <v>Namakkal</v>
      </c>
      <c r="Z84" s="11" t="str">
        <f>IFERROR(VLOOKUP(Sales_Raw!$D84,CustomersMasterTable[#All],6,FALSE),"Guest")</f>
        <v>Regular</v>
      </c>
      <c r="AA84" s="17">
        <f>IFERROR(VLOOKUP(Sales_Raw!$D84,CustomersMasterTable[#All],7,FALSE),"Guest")</f>
        <v>46179</v>
      </c>
      <c r="AB84" s="23">
        <f>Master_Data[[#This Row],[Qty]]*Master_Data[[#This Row],[Unit_Price]]</f>
        <v>926.46</v>
      </c>
      <c r="AC84" s="23">
        <f>Master_Data[[#This Row],[Gross_ Sales]]*(1-Master_Data[[#This Row],[Discount Percentage]])</f>
        <v>880.13699999999994</v>
      </c>
      <c r="AD84" s="23">
        <f>Master_Data[[#This Row],[Net_Sales]]-(Master_Data[[#This Row],[Qty]]*Master_Data[[#This Row],[Cost_Price]])</f>
        <v>138.41699999999992</v>
      </c>
    </row>
    <row r="85" spans="1:30" ht="29.25">
      <c r="A85" s="13" t="s">
        <v>217</v>
      </c>
      <c r="B85" s="28">
        <f>DATEVALUE(Master_Data[[#This Row],[Sale_Date]])</f>
        <v>46261</v>
      </c>
      <c r="C85" s="13" t="s">
        <v>32</v>
      </c>
      <c r="D85" s="13" t="s">
        <v>87</v>
      </c>
      <c r="E85" s="13" t="str">
        <f>UPPER(TRIM(Sales_Raw!$F85))</f>
        <v>P1004</v>
      </c>
      <c r="F85" s="13" t="s">
        <v>159</v>
      </c>
      <c r="G85" s="13">
        <v>4</v>
      </c>
      <c r="H85" s="14">
        <v>136.04</v>
      </c>
      <c r="I85" s="15">
        <v>0</v>
      </c>
      <c r="J85" s="13" t="str">
        <f>UPPER(TRIM(Sales_Raw!$K85))</f>
        <v>UPI</v>
      </c>
      <c r="K85" s="13" t="s">
        <v>22</v>
      </c>
      <c r="L85" s="13" t="str">
        <f>PROPER(TRIM(Sales_Raw!$M85))</f>
        <v>Suramangalam</v>
      </c>
      <c r="M85" s="13" t="s">
        <v>40</v>
      </c>
      <c r="N85" s="12" t="s">
        <v>16</v>
      </c>
      <c r="O85" s="13" t="s">
        <v>54</v>
      </c>
      <c r="P85" s="16" t="str">
        <f>VLOOKUP(Sales_Raw!$E85,ProductsMasterTable[#All],2,FALSE)</f>
        <v>Urad Dal 1kg</v>
      </c>
      <c r="Q85" s="16" t="str">
        <f>VLOOKUP(Sales_Raw!$E85,ProductsMasterTable[#All],3,FALSE)</f>
        <v>Staples</v>
      </c>
      <c r="R85" s="16" t="str">
        <f>VLOOKUP(Sales_Raw!$E85,ProductsMasterTable[#All],4,FALSE)</f>
        <v>Cavin's</v>
      </c>
      <c r="S85" s="16">
        <f>VLOOKUP(Sales_Raw!$E85,ProductsMasterTable[#All],5,FALSE)</f>
        <v>111.53</v>
      </c>
      <c r="T85" s="16">
        <f>VLOOKUP(Sales_Raw!$E85,ProductsMasterTable[#All],6,FALSE)</f>
        <v>140.36000000000001</v>
      </c>
      <c r="U85" s="16" t="str">
        <f>VLOOKUP(Sales_Raw!$E85,ProductsMasterTable[#All],7,FALSE)</f>
        <v>Kongu Distributors</v>
      </c>
      <c r="V85" s="16" t="str">
        <f>IFERROR(VLOOKUP(Sales_Raw!$D85,CustomersMasterTable[#All],2,FALSE),"Guest")</f>
        <v>Deepa Raj</v>
      </c>
      <c r="W85" s="16" t="str">
        <f>IFERROR(VLOOKUP(Sales_Raw!$D85,CustomersMasterTable[#All],3,FALSE),"Guest")</f>
        <v>Male</v>
      </c>
      <c r="X85" s="16">
        <f>IFERROR(VLOOKUP(Sales_Raw!$D85,CustomersMasterTable[#All],4,FALSE),"Guest")</f>
        <v>32</v>
      </c>
      <c r="Y85" s="16" t="str">
        <f>IFERROR(VLOOKUP(Sales_Raw!$D85,CustomersMasterTable[#All],5,FALSE),"Guest")</f>
        <v>Salem</v>
      </c>
      <c r="Z85" s="16" t="str">
        <f>IFERROR(VLOOKUP(Sales_Raw!$D85,CustomersMasterTable[#All],6,FALSE),"Guest")</f>
        <v>Silver</v>
      </c>
      <c r="AA85" s="18">
        <f>IFERROR(VLOOKUP(Sales_Raw!$D85,CustomersMasterTable[#All],7,FALSE),"Guest")</f>
        <v>46066</v>
      </c>
      <c r="AB85" s="23">
        <f>Master_Data[[#This Row],[Qty]]*Master_Data[[#This Row],[Unit_Price]]</f>
        <v>544.16</v>
      </c>
      <c r="AC85" s="23">
        <f>Master_Data[[#This Row],[Gross_ Sales]]*(1-Master_Data[[#This Row],[Discount Percentage]])</f>
        <v>544.16</v>
      </c>
      <c r="AD85" s="23">
        <f>Master_Data[[#This Row],[Net_Sales]]-(Master_Data[[#This Row],[Qty]]*Master_Data[[#This Row],[Cost_Price]])</f>
        <v>98.039999999999964</v>
      </c>
    </row>
    <row r="86" spans="1:30" ht="15">
      <c r="A86" s="8" t="s">
        <v>218</v>
      </c>
      <c r="B86" s="27">
        <f>DATEVALUE(Master_Data[[#This Row],[Sale_Date]])</f>
        <v>46248</v>
      </c>
      <c r="C86" s="8" t="s">
        <v>27</v>
      </c>
      <c r="D86" s="8" t="s">
        <v>107</v>
      </c>
      <c r="E86" s="8" t="str">
        <f>UPPER(TRIM(Sales_Raw!$F86))</f>
        <v>P1015</v>
      </c>
      <c r="F86" s="8" t="s">
        <v>48</v>
      </c>
      <c r="G86" s="8">
        <v>2</v>
      </c>
      <c r="H86" s="9">
        <v>162.38999999999999</v>
      </c>
      <c r="I86" s="10">
        <v>0</v>
      </c>
      <c r="J86" s="8" t="str">
        <f>UPPER(TRIM(Sales_Raw!$K86))</f>
        <v>CARD</v>
      </c>
      <c r="K86" s="8" t="s">
        <v>34</v>
      </c>
      <c r="L86" s="8" t="str">
        <f>PROPER(TRIM(Sales_Raw!$M86))</f>
        <v>Hasthampatti</v>
      </c>
      <c r="M86" s="8" t="s">
        <v>23</v>
      </c>
      <c r="N86" s="7" t="s">
        <v>41</v>
      </c>
      <c r="O86" s="8" t="s">
        <v>30</v>
      </c>
      <c r="P86" s="11" t="str">
        <f>VLOOKUP(Sales_Raw!$E86,ProductsMasterTable[#All],2,FALSE)</f>
        <v>Biscuits Pack</v>
      </c>
      <c r="Q86" s="11" t="str">
        <f>VLOOKUP(Sales_Raw!$E86,ProductsMasterTable[#All],3,FALSE)</f>
        <v>Snacks</v>
      </c>
      <c r="R86" s="11" t="str">
        <f>VLOOKUP(Sales_Raw!$E86,ProductsMasterTable[#All],4,FALSE)</f>
        <v>HUL</v>
      </c>
      <c r="S86" s="11">
        <f>VLOOKUP(Sales_Raw!$E86,ProductsMasterTable[#All],5,FALSE)</f>
        <v>129.75</v>
      </c>
      <c r="T86" s="11">
        <f>VLOOKUP(Sales_Raw!$E86,ProductsMasterTable[#All],6,FALSE)</f>
        <v>164.29</v>
      </c>
      <c r="U86" s="11" t="str">
        <f>VLOOKUP(Sales_Raw!$E86,ProductsMasterTable[#All],7,FALSE)</f>
        <v>Kongu Distributors</v>
      </c>
      <c r="V86" s="11" t="str">
        <f>IFERROR(VLOOKUP(Sales_Raw!$D86,CustomersMasterTable[#All],2,FALSE),"Guest")</f>
        <v>Meena M</v>
      </c>
      <c r="W86" s="11" t="str">
        <f>IFERROR(VLOOKUP(Sales_Raw!$D86,CustomersMasterTable[#All],3,FALSE),"Guest")</f>
        <v>Female</v>
      </c>
      <c r="X86" s="11">
        <f>IFERROR(VLOOKUP(Sales_Raw!$D86,CustomersMasterTable[#All],4,FALSE),"Guest")</f>
        <v>36</v>
      </c>
      <c r="Y86" s="11" t="str">
        <f>IFERROR(VLOOKUP(Sales_Raw!$D86,CustomersMasterTable[#All],5,FALSE),"Guest")</f>
        <v>Erode</v>
      </c>
      <c r="Z86" s="11" t="str">
        <f>IFERROR(VLOOKUP(Sales_Raw!$D86,CustomersMasterTable[#All],6,FALSE),"Guest")</f>
        <v>Regular</v>
      </c>
      <c r="AA86" s="17">
        <f>IFERROR(VLOOKUP(Sales_Raw!$D86,CustomersMasterTable[#All],7,FALSE),"Guest")</f>
        <v>46214</v>
      </c>
      <c r="AB86" s="23">
        <f>Master_Data[[#This Row],[Qty]]*Master_Data[[#This Row],[Unit_Price]]</f>
        <v>324.77999999999997</v>
      </c>
      <c r="AC86" s="23">
        <f>Master_Data[[#This Row],[Gross_ Sales]]*(1-Master_Data[[#This Row],[Discount Percentage]])</f>
        <v>324.77999999999997</v>
      </c>
      <c r="AD86" s="23">
        <f>Master_Data[[#This Row],[Net_Sales]]-(Master_Data[[#This Row],[Qty]]*Master_Data[[#This Row],[Cost_Price]])</f>
        <v>65.279999999999973</v>
      </c>
    </row>
    <row r="87" spans="1:30" ht="15">
      <c r="A87" s="13" t="s">
        <v>219</v>
      </c>
      <c r="B87" s="28">
        <f>DATEVALUE(Master_Data[[#This Row],[Sale_Date]])</f>
        <v>46257</v>
      </c>
      <c r="C87" s="13" t="s">
        <v>220</v>
      </c>
      <c r="D87" s="13" t="s">
        <v>221</v>
      </c>
      <c r="E87" s="13" t="str">
        <f>UPPER(TRIM(Sales_Raw!$F87))</f>
        <v>P1013</v>
      </c>
      <c r="F87" s="13" t="s">
        <v>176</v>
      </c>
      <c r="G87" s="13">
        <v>3</v>
      </c>
      <c r="H87" s="14">
        <v>101.24</v>
      </c>
      <c r="I87" s="15">
        <v>0</v>
      </c>
      <c r="J87" s="13" t="str">
        <f>UPPER(TRIM(Sales_Raw!$K87))</f>
        <v>CASH</v>
      </c>
      <c r="K87" s="13" t="s">
        <v>14</v>
      </c>
      <c r="L87" s="13" t="str">
        <f>PROPER(TRIM(Sales_Raw!$M87))</f>
        <v>Fairlands</v>
      </c>
      <c r="M87" s="13" t="s">
        <v>15</v>
      </c>
      <c r="N87" s="12" t="s">
        <v>24</v>
      </c>
      <c r="O87" s="13" t="s">
        <v>30</v>
      </c>
      <c r="P87" s="16" t="str">
        <f>VLOOKUP(Sales_Raw!$E87,ProductsMasterTable[#All],2,FALSE)</f>
        <v>Banana Chips</v>
      </c>
      <c r="Q87" s="16" t="str">
        <f>VLOOKUP(Sales_Raw!$E87,ProductsMasterTable[#All],3,FALSE)</f>
        <v>Snacks</v>
      </c>
      <c r="R87" s="16" t="str">
        <f>VLOOKUP(Sales_Raw!$E87,ProductsMasterTable[#All],4,FALSE)</f>
        <v>Tata</v>
      </c>
      <c r="S87" s="16">
        <f>VLOOKUP(Sales_Raw!$E87,ProductsMasterTable[#All],5,FALSE)</f>
        <v>95.3</v>
      </c>
      <c r="T87" s="16">
        <f>VLOOKUP(Sales_Raw!$E87,ProductsMasterTable[#All],6,FALSE)</f>
        <v>108.26</v>
      </c>
      <c r="U87" s="16" t="str">
        <f>VLOOKUP(Sales_Raw!$E87,ProductsMasterTable[#All],7,FALSE)</f>
        <v>Metro Supply Co</v>
      </c>
      <c r="V87" s="16" t="str">
        <f>IFERROR(VLOOKUP(Sales_Raw!$D87,CustomersMasterTable[#All],2,FALSE),"Guest")</f>
        <v>Arun Shree</v>
      </c>
      <c r="W87" s="16" t="str">
        <f>IFERROR(VLOOKUP(Sales_Raw!$D87,CustomersMasterTable[#All],3,FALSE),"Guest")</f>
        <v>Female</v>
      </c>
      <c r="X87" s="16">
        <f>IFERROR(VLOOKUP(Sales_Raw!$D87,CustomersMasterTable[#All],4,FALSE),"Guest")</f>
        <v>49</v>
      </c>
      <c r="Y87" s="16" t="str">
        <f>IFERROR(VLOOKUP(Sales_Raw!$D87,CustomersMasterTable[#All],5,FALSE),"Guest")</f>
        <v>Salem</v>
      </c>
      <c r="Z87" s="16" t="str">
        <f>IFERROR(VLOOKUP(Sales_Raw!$D87,CustomersMasterTable[#All],6,FALSE),"Guest")</f>
        <v>Regular</v>
      </c>
      <c r="AA87" s="18">
        <f>IFERROR(VLOOKUP(Sales_Raw!$D87,CustomersMasterTable[#All],7,FALSE),"Guest")</f>
        <v>46029</v>
      </c>
      <c r="AB87" s="23">
        <f>Master_Data[[#This Row],[Qty]]*Master_Data[[#This Row],[Unit_Price]]</f>
        <v>303.71999999999997</v>
      </c>
      <c r="AC87" s="23">
        <f>Master_Data[[#This Row],[Gross_ Sales]]*(1-Master_Data[[#This Row],[Discount Percentage]])</f>
        <v>303.71999999999997</v>
      </c>
      <c r="AD87" s="23">
        <f>Master_Data[[#This Row],[Net_Sales]]-(Master_Data[[#This Row],[Qty]]*Master_Data[[#This Row],[Cost_Price]])</f>
        <v>17.819999999999993</v>
      </c>
    </row>
    <row r="88" spans="1:30" ht="15">
      <c r="A88" s="8" t="s">
        <v>222</v>
      </c>
      <c r="B88" s="27">
        <f>DATEVALUE(Master_Data[[#This Row],[Sale_Date]])</f>
        <v>46236</v>
      </c>
      <c r="C88" s="8" t="s">
        <v>151</v>
      </c>
      <c r="D88" s="8" t="s">
        <v>221</v>
      </c>
      <c r="E88" s="8" t="str">
        <f>UPPER(TRIM(Sales_Raw!$F88))</f>
        <v>P1026</v>
      </c>
      <c r="F88" s="8" t="s">
        <v>108</v>
      </c>
      <c r="G88" s="8">
        <v>3</v>
      </c>
      <c r="H88" s="9">
        <v>263.02999999999997</v>
      </c>
      <c r="I88" s="10">
        <v>0</v>
      </c>
      <c r="J88" s="8" t="str">
        <f>UPPER(TRIM(Sales_Raw!$K88))</f>
        <v>CARD</v>
      </c>
      <c r="K88" s="8" t="s">
        <v>34</v>
      </c>
      <c r="L88" s="8" t="str">
        <f>PROPER(TRIM(Sales_Raw!$M88))</f>
        <v>Fairlands</v>
      </c>
      <c r="M88" s="8" t="s">
        <v>15</v>
      </c>
      <c r="N88" s="7" t="s">
        <v>53</v>
      </c>
      <c r="O88" s="8" t="s">
        <v>25</v>
      </c>
      <c r="P88" s="11" t="str">
        <f>VLOOKUP(Sales_Raw!$E88,ProductsMasterTable[#All],2,FALSE)</f>
        <v>Dishwash Liquid</v>
      </c>
      <c r="Q88" s="11" t="str">
        <f>VLOOKUP(Sales_Raw!$E88,ProductsMasterTable[#All],3,FALSE)</f>
        <v>Household</v>
      </c>
      <c r="R88" s="11" t="str">
        <f>VLOOKUP(Sales_Raw!$E88,ProductsMasterTable[#All],4,FALSE)</f>
        <v>Aavin</v>
      </c>
      <c r="S88" s="11">
        <f>VLOOKUP(Sales_Raw!$E88,ProductsMasterTable[#All],5,FALSE)</f>
        <v>216.39</v>
      </c>
      <c r="T88" s="11">
        <f>VLOOKUP(Sales_Raw!$E88,ProductsMasterTable[#All],6,FALSE)</f>
        <v>279.97000000000003</v>
      </c>
      <c r="U88" s="11" t="str">
        <f>VLOOKUP(Sales_Raw!$E88,ProductsMasterTable[#All],7,FALSE)</f>
        <v>Kongu Distributors</v>
      </c>
      <c r="V88" s="11" t="str">
        <f>IFERROR(VLOOKUP(Sales_Raw!$D88,CustomersMasterTable[#All],2,FALSE),"Guest")</f>
        <v>Arun Shree</v>
      </c>
      <c r="W88" s="11" t="str">
        <f>IFERROR(VLOOKUP(Sales_Raw!$D88,CustomersMasterTable[#All],3,FALSE),"Guest")</f>
        <v>Female</v>
      </c>
      <c r="X88" s="11">
        <f>IFERROR(VLOOKUP(Sales_Raw!$D88,CustomersMasterTable[#All],4,FALSE),"Guest")</f>
        <v>49</v>
      </c>
      <c r="Y88" s="11" t="str">
        <f>IFERROR(VLOOKUP(Sales_Raw!$D88,CustomersMasterTable[#All],5,FALSE),"Guest")</f>
        <v>Salem</v>
      </c>
      <c r="Z88" s="11" t="str">
        <f>IFERROR(VLOOKUP(Sales_Raw!$D88,CustomersMasterTable[#All],6,FALSE),"Guest")</f>
        <v>Regular</v>
      </c>
      <c r="AA88" s="17">
        <f>IFERROR(VLOOKUP(Sales_Raw!$D88,CustomersMasterTable[#All],7,FALSE),"Guest")</f>
        <v>46029</v>
      </c>
      <c r="AB88" s="23">
        <f>Master_Data[[#This Row],[Qty]]*Master_Data[[#This Row],[Unit_Price]]</f>
        <v>789.08999999999992</v>
      </c>
      <c r="AC88" s="23">
        <f>Master_Data[[#This Row],[Gross_ Sales]]*(1-Master_Data[[#This Row],[Discount Percentage]])</f>
        <v>789.08999999999992</v>
      </c>
      <c r="AD88" s="23">
        <f>Master_Data[[#This Row],[Net_Sales]]-(Master_Data[[#This Row],[Qty]]*Master_Data[[#This Row],[Cost_Price]])</f>
        <v>139.91999999999996</v>
      </c>
    </row>
    <row r="89" spans="1:30" ht="15">
      <c r="A89" s="13" t="s">
        <v>223</v>
      </c>
      <c r="B89" s="28">
        <f>DATEVALUE(Master_Data[[#This Row],[Sale_Date]])</f>
        <v>46270</v>
      </c>
      <c r="C89" s="13" t="s">
        <v>161</v>
      </c>
      <c r="D89" s="13" t="s">
        <v>224</v>
      </c>
      <c r="E89" s="13" t="str">
        <f>UPPER(TRIM(Sales_Raw!$F89))</f>
        <v>P1019</v>
      </c>
      <c r="F89" s="13" t="s">
        <v>84</v>
      </c>
      <c r="G89" s="13">
        <v>2</v>
      </c>
      <c r="H89" s="14">
        <v>379.48</v>
      </c>
      <c r="I89" s="15">
        <v>0</v>
      </c>
      <c r="J89" s="13" t="str">
        <f>UPPER(TRIM(Sales_Raw!$K89))</f>
        <v>CASH</v>
      </c>
      <c r="K89" s="13" t="s">
        <v>14</v>
      </c>
      <c r="L89" s="13" t="str">
        <f>PROPER(TRIM(Sales_Raw!$M89))</f>
        <v>Fairlands</v>
      </c>
      <c r="M89" s="13" t="s">
        <v>127</v>
      </c>
      <c r="N89" s="12" t="s">
        <v>41</v>
      </c>
      <c r="O89" s="13" t="s">
        <v>65</v>
      </c>
      <c r="P89" s="16" t="str">
        <f>VLOOKUP(Sales_Raw!$E89,ProductsMasterTable[#All],2,FALSE)</f>
        <v>Cola 750ml</v>
      </c>
      <c r="Q89" s="16" t="str">
        <f>VLOOKUP(Sales_Raw!$E89,ProductsMasterTable[#All],3,FALSE)</f>
        <v>Beverages</v>
      </c>
      <c r="R89" s="16" t="str">
        <f>VLOOKUP(Sales_Raw!$E89,ProductsMasterTable[#All],4,FALSE)</f>
        <v>Aachi</v>
      </c>
      <c r="S89" s="16">
        <f>VLOOKUP(Sales_Raw!$E89,ProductsMasterTable[#All],5,FALSE)</f>
        <v>293.20999999999998</v>
      </c>
      <c r="T89" s="16">
        <f>VLOOKUP(Sales_Raw!$E89,ProductsMasterTable[#All],6,FALSE)</f>
        <v>385.24</v>
      </c>
      <c r="U89" s="16" t="str">
        <f>VLOOKUP(Sales_Raw!$E89,ProductsMasterTable[#All],7,FALSE)</f>
        <v>Kongu Distributors</v>
      </c>
      <c r="V89" s="16" t="str">
        <f>IFERROR(VLOOKUP(Sales_Raw!$D89,CustomersMasterTable[#All],2,FALSE),"Guest")</f>
        <v>Priya Kumar</v>
      </c>
      <c r="W89" s="16" t="str">
        <f>IFERROR(VLOOKUP(Sales_Raw!$D89,CustomersMasterTable[#All],3,FALSE),"Guest")</f>
        <v>Female</v>
      </c>
      <c r="X89" s="16">
        <f>IFERROR(VLOOKUP(Sales_Raw!$D89,CustomersMasterTable[#All],4,FALSE),"Guest")</f>
        <v>64</v>
      </c>
      <c r="Y89" s="16" t="str">
        <f>IFERROR(VLOOKUP(Sales_Raw!$D89,CustomersMasterTable[#All],5,FALSE),"Guest")</f>
        <v>Namakkal</v>
      </c>
      <c r="Z89" s="16" t="str">
        <f>IFERROR(VLOOKUP(Sales_Raw!$D89,CustomersMasterTable[#All],6,FALSE),"Guest")</f>
        <v>Silver</v>
      </c>
      <c r="AA89" s="18">
        <f>IFERROR(VLOOKUP(Sales_Raw!$D89,CustomersMasterTable[#All],7,FALSE),"Guest")</f>
        <v>45769</v>
      </c>
      <c r="AB89" s="23">
        <f>Master_Data[[#This Row],[Qty]]*Master_Data[[#This Row],[Unit_Price]]</f>
        <v>758.96</v>
      </c>
      <c r="AC89" s="23">
        <f>Master_Data[[#This Row],[Gross_ Sales]]*(1-Master_Data[[#This Row],[Discount Percentage]])</f>
        <v>758.96</v>
      </c>
      <c r="AD89" s="23">
        <f>Master_Data[[#This Row],[Net_Sales]]-(Master_Data[[#This Row],[Qty]]*Master_Data[[#This Row],[Cost_Price]])</f>
        <v>172.54000000000008</v>
      </c>
    </row>
    <row r="90" spans="1:30" ht="15">
      <c r="A90" s="8" t="s">
        <v>225</v>
      </c>
      <c r="B90" s="27">
        <f>DATEVALUE(Master_Data[[#This Row],[Sale_Date]])</f>
        <v>46235</v>
      </c>
      <c r="C90" s="8" t="s">
        <v>37</v>
      </c>
      <c r="D90" s="8" t="s">
        <v>114</v>
      </c>
      <c r="E90" s="8" t="str">
        <f>UPPER(TRIM(Sales_Raw!$F90))</f>
        <v>P1028</v>
      </c>
      <c r="F90" s="8" t="s">
        <v>124</v>
      </c>
      <c r="G90" s="8">
        <v>2</v>
      </c>
      <c r="H90" s="9">
        <v>52.54</v>
      </c>
      <c r="I90" s="10">
        <v>0.1</v>
      </c>
      <c r="J90" s="8" t="str">
        <f>UPPER(TRIM(Sales_Raw!$K90))</f>
        <v>CASH</v>
      </c>
      <c r="K90" s="8" t="s">
        <v>14</v>
      </c>
      <c r="L90" s="8" t="str">
        <f>PROPER(TRIM(Sales_Raw!$M90))</f>
        <v>Fairlands</v>
      </c>
      <c r="M90" s="8" t="s">
        <v>15</v>
      </c>
      <c r="N90" s="7" t="s">
        <v>53</v>
      </c>
      <c r="O90" s="8" t="s">
        <v>25</v>
      </c>
      <c r="P90" s="11" t="str">
        <f>VLOOKUP(Sales_Raw!$E90,ProductsMasterTable[#All],2,FALSE)</f>
        <v>Floor Cleaner 1L</v>
      </c>
      <c r="Q90" s="11" t="str">
        <f>VLOOKUP(Sales_Raw!$E90,ProductsMasterTable[#All],3,FALSE)</f>
        <v>Household</v>
      </c>
      <c r="R90" s="11" t="str">
        <f>VLOOKUP(Sales_Raw!$E90,ProductsMasterTable[#All],4,FALSE)</f>
        <v>LocalFresh</v>
      </c>
      <c r="S90" s="11">
        <f>VLOOKUP(Sales_Raw!$E90,ProductsMasterTable[#All],5,FALSE)</f>
        <v>43.54</v>
      </c>
      <c r="T90" s="11">
        <f>VLOOKUP(Sales_Raw!$E90,ProductsMasterTable[#All],6,FALSE)</f>
        <v>52.59</v>
      </c>
      <c r="U90" s="11" t="str">
        <f>VLOOKUP(Sales_Raw!$E90,ProductsMasterTable[#All],7,FALSE)</f>
        <v>Sri Ganesh Agencies</v>
      </c>
      <c r="V90" s="11" t="str">
        <f>IFERROR(VLOOKUP(Sales_Raw!$D90,CustomersMasterTable[#All],2,FALSE),"Guest")</f>
        <v>Nithya M</v>
      </c>
      <c r="W90" s="11" t="str">
        <f>IFERROR(VLOOKUP(Sales_Raw!$D90,CustomersMasterTable[#All],3,FALSE),"Guest")</f>
        <v>Female</v>
      </c>
      <c r="X90" s="11">
        <f>IFERROR(VLOOKUP(Sales_Raw!$D90,CustomersMasterTable[#All],4,FALSE),"Guest")</f>
        <v>21</v>
      </c>
      <c r="Y90" s="11" t="str">
        <f>IFERROR(VLOOKUP(Sales_Raw!$D90,CustomersMasterTable[#All],5,FALSE),"Guest")</f>
        <v>Erode</v>
      </c>
      <c r="Z90" s="11" t="str">
        <f>IFERROR(VLOOKUP(Sales_Raw!$D90,CustomersMasterTable[#All],6,FALSE),"Guest")</f>
        <v>Regular</v>
      </c>
      <c r="AA90" s="17">
        <f>IFERROR(VLOOKUP(Sales_Raw!$D90,CustomersMasterTable[#All],7,FALSE),"Guest")</f>
        <v>46057</v>
      </c>
      <c r="AB90" s="23">
        <f>Master_Data[[#This Row],[Qty]]*Master_Data[[#This Row],[Unit_Price]]</f>
        <v>105.08</v>
      </c>
      <c r="AC90" s="23">
        <f>Master_Data[[#This Row],[Gross_ Sales]]*(1-Master_Data[[#This Row],[Discount Percentage]])</f>
        <v>94.572000000000003</v>
      </c>
      <c r="AD90" s="23">
        <f>Master_Data[[#This Row],[Net_Sales]]-(Master_Data[[#This Row],[Qty]]*Master_Data[[#This Row],[Cost_Price]])</f>
        <v>7.4920000000000044</v>
      </c>
    </row>
    <row r="91" spans="1:30" ht="15">
      <c r="A91" s="13" t="s">
        <v>226</v>
      </c>
      <c r="B91" s="28">
        <f>DATEVALUE(Master_Data[[#This Row],[Sale_Date]])</f>
        <v>46236</v>
      </c>
      <c r="C91" s="13" t="s">
        <v>151</v>
      </c>
      <c r="D91" s="13" t="s">
        <v>227</v>
      </c>
      <c r="E91" s="13" t="str">
        <f>UPPER(TRIM(Sales_Raw!$F91))</f>
        <v>P1001</v>
      </c>
      <c r="F91" s="13" t="s">
        <v>228</v>
      </c>
      <c r="G91" s="13">
        <v>3</v>
      </c>
      <c r="H91" s="14">
        <v>304.44</v>
      </c>
      <c r="I91" s="15">
        <v>0</v>
      </c>
      <c r="J91" s="13" t="str">
        <f>UPPER(TRIM(Sales_Raw!$K91))</f>
        <v>CARD</v>
      </c>
      <c r="K91" s="13" t="s">
        <v>34</v>
      </c>
      <c r="L91" s="13" t="str">
        <f>PROPER(TRIM(Sales_Raw!$M91))</f>
        <v>Hasthampatti</v>
      </c>
      <c r="M91" s="13" t="s">
        <v>23</v>
      </c>
      <c r="N91" s="12" t="s">
        <v>53</v>
      </c>
      <c r="O91" s="13" t="s">
        <v>54</v>
      </c>
      <c r="P91" s="16" t="str">
        <f>VLOOKUP(Sales_Raw!$E91,ProductsMasterTable[#All],2,FALSE)</f>
        <v>Rice 5kg</v>
      </c>
      <c r="Q91" s="16" t="str">
        <f>VLOOKUP(Sales_Raw!$E91,ProductsMasterTable[#All],3,FALSE)</f>
        <v>Staples</v>
      </c>
      <c r="R91" s="16" t="str">
        <f>VLOOKUP(Sales_Raw!$E91,ProductsMasterTable[#All],4,FALSE)</f>
        <v>Nestle</v>
      </c>
      <c r="S91" s="16">
        <f>VLOOKUP(Sales_Raw!$E91,ProductsMasterTable[#All],5,FALSE)</f>
        <v>275.05</v>
      </c>
      <c r="T91" s="16">
        <f>VLOOKUP(Sales_Raw!$E91,ProductsMasterTable[#All],6,FALSE)</f>
        <v>309.64</v>
      </c>
      <c r="U91" s="16" t="str">
        <f>VLOOKUP(Sales_Raw!$E91,ProductsMasterTable[#All],7,FALSE)</f>
        <v>Kongu Distributors</v>
      </c>
      <c r="V91" s="16" t="str">
        <f>IFERROR(VLOOKUP(Sales_Raw!$D91,CustomersMasterTable[#All],2,FALSE),"Guest")</f>
        <v>Keerthi R</v>
      </c>
      <c r="W91" s="16" t="str">
        <f>IFERROR(VLOOKUP(Sales_Raw!$D91,CustomersMasterTable[#All],3,FALSE),"Guest")</f>
        <v>Female</v>
      </c>
      <c r="X91" s="16">
        <f>IFERROR(VLOOKUP(Sales_Raw!$D91,CustomersMasterTable[#All],4,FALSE),"Guest")</f>
        <v>19</v>
      </c>
      <c r="Y91" s="16" t="str">
        <f>IFERROR(VLOOKUP(Sales_Raw!$D91,CustomersMasterTable[#All],5,FALSE),"Guest")</f>
        <v>Dharmapuri</v>
      </c>
      <c r="Z91" s="16" t="str">
        <f>IFERROR(VLOOKUP(Sales_Raw!$D91,CustomersMasterTable[#All],6,FALSE),"Guest")</f>
        <v>Silver</v>
      </c>
      <c r="AA91" s="18">
        <f>IFERROR(VLOOKUP(Sales_Raw!$D91,CustomersMasterTable[#All],7,FALSE),"Guest")</f>
        <v>45883</v>
      </c>
      <c r="AB91" s="23">
        <f>Master_Data[[#This Row],[Qty]]*Master_Data[[#This Row],[Unit_Price]]</f>
        <v>913.31999999999994</v>
      </c>
      <c r="AC91" s="23">
        <f>Master_Data[[#This Row],[Gross_ Sales]]*(1-Master_Data[[#This Row],[Discount Percentage]])</f>
        <v>913.31999999999994</v>
      </c>
      <c r="AD91" s="23">
        <f>Master_Data[[#This Row],[Net_Sales]]-(Master_Data[[#This Row],[Qty]]*Master_Data[[#This Row],[Cost_Price]])</f>
        <v>88.169999999999845</v>
      </c>
    </row>
    <row r="92" spans="1:30" ht="29.25">
      <c r="A92" s="8" t="s">
        <v>229</v>
      </c>
      <c r="B92" s="27">
        <f>DATEVALUE(Master_Data[[#This Row],[Sale_Date]])</f>
        <v>46246</v>
      </c>
      <c r="C92" s="8" t="s">
        <v>230</v>
      </c>
      <c r="D92" s="8" t="s">
        <v>231</v>
      </c>
      <c r="E92" s="8" t="str">
        <f>UPPER(TRIM(Sales_Raw!$F92))</f>
        <v>P1002</v>
      </c>
      <c r="F92" s="8" t="s">
        <v>232</v>
      </c>
      <c r="G92" s="8">
        <v>2</v>
      </c>
      <c r="H92" s="9">
        <v>136.04</v>
      </c>
      <c r="I92" s="10">
        <v>0.1</v>
      </c>
      <c r="J92" s="8" t="str">
        <f>UPPER(TRIM(Sales_Raw!$K92))</f>
        <v>UPI</v>
      </c>
      <c r="K92" s="8" t="s">
        <v>22</v>
      </c>
      <c r="L92" s="8" t="str">
        <f>PROPER(TRIM(Sales_Raw!$M92))</f>
        <v>Suramangalam</v>
      </c>
      <c r="M92" s="8" t="s">
        <v>40</v>
      </c>
      <c r="N92" s="7" t="s">
        <v>53</v>
      </c>
      <c r="O92" s="8" t="s">
        <v>54</v>
      </c>
      <c r="P92" s="11" t="str">
        <f>VLOOKUP(Sales_Raw!$E92,ProductsMasterTable[#All],2,FALSE)</f>
        <v>Wheat Flour 5kg</v>
      </c>
      <c r="Q92" s="11" t="str">
        <f>VLOOKUP(Sales_Raw!$E92,ProductsMasterTable[#All],3,FALSE)</f>
        <v>Staples</v>
      </c>
      <c r="R92" s="11" t="str">
        <f>VLOOKUP(Sales_Raw!$E92,ProductsMasterTable[#All],4,FALSE)</f>
        <v>Cavin's</v>
      </c>
      <c r="S92" s="11">
        <f>VLOOKUP(Sales_Raw!$E92,ProductsMasterTable[#All],5,FALSE)</f>
        <v>107.73</v>
      </c>
      <c r="T92" s="11">
        <f>VLOOKUP(Sales_Raw!$E92,ProductsMasterTable[#All],6,FALSE)</f>
        <v>138.91</v>
      </c>
      <c r="U92" s="11" t="str">
        <f>VLOOKUP(Sales_Raw!$E92,ProductsMasterTable[#All],7,FALSE)</f>
        <v>Salem Wholesale Mart</v>
      </c>
      <c r="V92" s="11" t="str">
        <f>IFERROR(VLOOKUP(Sales_Raw!$D92,CustomersMasterTable[#All],2,FALSE),"Guest")</f>
        <v>Priya Kumar</v>
      </c>
      <c r="W92" s="11" t="str">
        <f>IFERROR(VLOOKUP(Sales_Raw!$D92,CustomersMasterTable[#All],3,FALSE),"Guest")</f>
        <v>Male</v>
      </c>
      <c r="X92" s="11">
        <f>IFERROR(VLOOKUP(Sales_Raw!$D92,CustomersMasterTable[#All],4,FALSE),"Guest")</f>
        <v>23</v>
      </c>
      <c r="Y92" s="11" t="str">
        <f>IFERROR(VLOOKUP(Sales_Raw!$D92,CustomersMasterTable[#All],5,FALSE),"Guest")</f>
        <v>Erode</v>
      </c>
      <c r="Z92" s="11" t="str">
        <f>IFERROR(VLOOKUP(Sales_Raw!$D92,CustomersMasterTable[#All],6,FALSE),"Guest")</f>
        <v>Regular</v>
      </c>
      <c r="AA92" s="17">
        <f>IFERROR(VLOOKUP(Sales_Raw!$D92,CustomersMasterTable[#All],7,FALSE),"Guest")</f>
        <v>46155</v>
      </c>
      <c r="AB92" s="23">
        <f>Master_Data[[#This Row],[Qty]]*Master_Data[[#This Row],[Unit_Price]]</f>
        <v>272.08</v>
      </c>
      <c r="AC92" s="23">
        <f>Master_Data[[#This Row],[Gross_ Sales]]*(1-Master_Data[[#This Row],[Discount Percentage]])</f>
        <v>244.87199999999999</v>
      </c>
      <c r="AD92" s="23">
        <f>Master_Data[[#This Row],[Net_Sales]]-(Master_Data[[#This Row],[Qty]]*Master_Data[[#This Row],[Cost_Price]])</f>
        <v>29.411999999999978</v>
      </c>
    </row>
    <row r="93" spans="1:30" ht="29.25">
      <c r="A93" s="13" t="s">
        <v>233</v>
      </c>
      <c r="B93" s="28">
        <f>DATEVALUE(Master_Data[[#This Row],[Sale_Date]])</f>
        <v>46265</v>
      </c>
      <c r="C93" s="13" t="s">
        <v>126</v>
      </c>
      <c r="D93" s="13" t="s">
        <v>107</v>
      </c>
      <c r="E93" s="13" t="str">
        <f>UPPER(TRIM(Sales_Raw!$F93))</f>
        <v>P1025</v>
      </c>
      <c r="F93" s="13" t="s">
        <v>154</v>
      </c>
      <c r="G93" s="13">
        <v>3</v>
      </c>
      <c r="H93" s="14">
        <v>212.06</v>
      </c>
      <c r="I93" s="15">
        <v>0</v>
      </c>
      <c r="J93" s="13" t="str">
        <f>UPPER(TRIM(Sales_Raw!$K93))</f>
        <v>CASH</v>
      </c>
      <c r="K93" s="13" t="s">
        <v>14</v>
      </c>
      <c r="L93" s="13" t="str">
        <f>PROPER(TRIM(Sales_Raw!$M93))</f>
        <v>Suramangalam</v>
      </c>
      <c r="M93" s="13" t="s">
        <v>40</v>
      </c>
      <c r="N93" s="12" t="s">
        <v>24</v>
      </c>
      <c r="O93" s="13" t="s">
        <v>80</v>
      </c>
      <c r="P93" s="16" t="str">
        <f>VLOOKUP(Sales_Raw!$E93,ProductsMasterTable[#All],2,FALSE)</f>
        <v>Handwash 250ml</v>
      </c>
      <c r="Q93" s="16" t="str">
        <f>VLOOKUP(Sales_Raw!$E93,ProductsMasterTable[#All],3,FALSE)</f>
        <v>Personal Care</v>
      </c>
      <c r="R93" s="16" t="str">
        <f>VLOOKUP(Sales_Raw!$E93,ProductsMasterTable[#All],4,FALSE)</f>
        <v>Britannia</v>
      </c>
      <c r="S93" s="16">
        <f>VLOOKUP(Sales_Raw!$E93,ProductsMasterTable[#All],5,FALSE)</f>
        <v>163.52000000000001</v>
      </c>
      <c r="T93" s="16">
        <f>VLOOKUP(Sales_Raw!$E93,ProductsMasterTable[#All],6,FALSE)</f>
        <v>220.65</v>
      </c>
      <c r="U93" s="16" t="str">
        <f>VLOOKUP(Sales_Raw!$E93,ProductsMasterTable[#All],7,FALSE)</f>
        <v>Sri Ganesh Agencies</v>
      </c>
      <c r="V93" s="16" t="str">
        <f>IFERROR(VLOOKUP(Sales_Raw!$D93,CustomersMasterTable[#All],2,FALSE),"Guest")</f>
        <v>Meena M</v>
      </c>
      <c r="W93" s="16" t="str">
        <f>IFERROR(VLOOKUP(Sales_Raw!$D93,CustomersMasterTable[#All],3,FALSE),"Guest")</f>
        <v>Female</v>
      </c>
      <c r="X93" s="16">
        <f>IFERROR(VLOOKUP(Sales_Raw!$D93,CustomersMasterTable[#All],4,FALSE),"Guest")</f>
        <v>36</v>
      </c>
      <c r="Y93" s="16" t="str">
        <f>IFERROR(VLOOKUP(Sales_Raw!$D93,CustomersMasterTable[#All],5,FALSE),"Guest")</f>
        <v>Erode</v>
      </c>
      <c r="Z93" s="16" t="str">
        <f>IFERROR(VLOOKUP(Sales_Raw!$D93,CustomersMasterTable[#All],6,FALSE),"Guest")</f>
        <v>Regular</v>
      </c>
      <c r="AA93" s="18">
        <f>IFERROR(VLOOKUP(Sales_Raw!$D93,CustomersMasterTable[#All],7,FALSE),"Guest")</f>
        <v>46214</v>
      </c>
      <c r="AB93" s="23">
        <f>Master_Data[[#This Row],[Qty]]*Master_Data[[#This Row],[Unit_Price]]</f>
        <v>636.18000000000006</v>
      </c>
      <c r="AC93" s="23">
        <f>Master_Data[[#This Row],[Gross_ Sales]]*(1-Master_Data[[#This Row],[Discount Percentage]])</f>
        <v>636.18000000000006</v>
      </c>
      <c r="AD93" s="23">
        <f>Master_Data[[#This Row],[Net_Sales]]-(Master_Data[[#This Row],[Qty]]*Master_Data[[#This Row],[Cost_Price]])</f>
        <v>145.62</v>
      </c>
    </row>
    <row r="94" spans="1:30" ht="15">
      <c r="A94" s="8" t="s">
        <v>234</v>
      </c>
      <c r="B94" s="27">
        <f>DATEVALUE(Master_Data[[#This Row],[Sale_Date]])</f>
        <v>46237</v>
      </c>
      <c r="C94" s="8" t="s">
        <v>204</v>
      </c>
      <c r="D94" s="8" t="s">
        <v>235</v>
      </c>
      <c r="E94" s="8" t="str">
        <f>UPPER(TRIM(Sales_Raw!$F94))</f>
        <v>P1026</v>
      </c>
      <c r="F94" s="8" t="s">
        <v>108</v>
      </c>
      <c r="G94" s="8">
        <v>6</v>
      </c>
      <c r="H94" s="9">
        <v>269.25</v>
      </c>
      <c r="I94" s="10">
        <v>0.05</v>
      </c>
      <c r="J94" s="8" t="str">
        <f>UPPER(TRIM(Sales_Raw!$K94))</f>
        <v>CARD</v>
      </c>
      <c r="K94" s="8" t="s">
        <v>34</v>
      </c>
      <c r="L94" s="8" t="str">
        <f>PROPER(TRIM(Sales_Raw!$M94))</f>
        <v>Fairlands</v>
      </c>
      <c r="M94" s="8" t="s">
        <v>15</v>
      </c>
      <c r="N94" s="7" t="s">
        <v>53</v>
      </c>
      <c r="O94" s="8" t="s">
        <v>25</v>
      </c>
      <c r="P94" s="11" t="str">
        <f>VLOOKUP(Sales_Raw!$E94,ProductsMasterTable[#All],2,FALSE)</f>
        <v>Dishwash Liquid</v>
      </c>
      <c r="Q94" s="11" t="str">
        <f>VLOOKUP(Sales_Raw!$E94,ProductsMasterTable[#All],3,FALSE)</f>
        <v>Household</v>
      </c>
      <c r="R94" s="11" t="str">
        <f>VLOOKUP(Sales_Raw!$E94,ProductsMasterTable[#All],4,FALSE)</f>
        <v>Aavin</v>
      </c>
      <c r="S94" s="11">
        <f>VLOOKUP(Sales_Raw!$E94,ProductsMasterTable[#All],5,FALSE)</f>
        <v>216.39</v>
      </c>
      <c r="T94" s="11">
        <f>VLOOKUP(Sales_Raw!$E94,ProductsMasterTable[#All],6,FALSE)</f>
        <v>279.97000000000003</v>
      </c>
      <c r="U94" s="11" t="str">
        <f>VLOOKUP(Sales_Raw!$E94,ProductsMasterTable[#All],7,FALSE)</f>
        <v>Kongu Distributors</v>
      </c>
      <c r="V94" s="11" t="str">
        <f>IFERROR(VLOOKUP(Sales_Raw!$D94,CustomersMasterTable[#All],2,FALSE),"Guest")</f>
        <v>Swetha Kumar</v>
      </c>
      <c r="W94" s="11" t="str">
        <f>IFERROR(VLOOKUP(Sales_Raw!$D94,CustomersMasterTable[#All],3,FALSE),"Guest")</f>
        <v>Male</v>
      </c>
      <c r="X94" s="11">
        <f>IFERROR(VLOOKUP(Sales_Raw!$D94,CustomersMasterTable[#All],4,FALSE),"Guest")</f>
        <v>41</v>
      </c>
      <c r="Y94" s="11" t="str">
        <f>IFERROR(VLOOKUP(Sales_Raw!$D94,CustomersMasterTable[#All],5,FALSE),"Guest")</f>
        <v>Coimbatore</v>
      </c>
      <c r="Z94" s="11" t="str">
        <f>IFERROR(VLOOKUP(Sales_Raw!$D94,CustomersMasterTable[#All],6,FALSE),"Guest")</f>
        <v>Regular</v>
      </c>
      <c r="AA94" s="17">
        <f>IFERROR(VLOOKUP(Sales_Raw!$D94,CustomersMasterTable[#All],7,FALSE),"Guest")</f>
        <v>45996</v>
      </c>
      <c r="AB94" s="23">
        <f>Master_Data[[#This Row],[Qty]]*Master_Data[[#This Row],[Unit_Price]]</f>
        <v>1615.5</v>
      </c>
      <c r="AC94" s="23">
        <f>Master_Data[[#This Row],[Gross_ Sales]]*(1-Master_Data[[#This Row],[Discount Percentage]])</f>
        <v>1534.7249999999999</v>
      </c>
      <c r="AD94" s="23">
        <f>Master_Data[[#This Row],[Net_Sales]]-(Master_Data[[#This Row],[Qty]]*Master_Data[[#This Row],[Cost_Price]])</f>
        <v>236.38499999999999</v>
      </c>
    </row>
    <row r="95" spans="1:30" ht="15">
      <c r="A95" s="13" t="s">
        <v>236</v>
      </c>
      <c r="B95" s="28">
        <f>DATEVALUE(Master_Data[[#This Row],[Sale_Date]])</f>
        <v>46265</v>
      </c>
      <c r="C95" s="13" t="s">
        <v>126</v>
      </c>
      <c r="D95" s="13" t="s">
        <v>183</v>
      </c>
      <c r="E95" s="13" t="str">
        <f>UPPER(TRIM(Sales_Raw!$F95))</f>
        <v>P1013</v>
      </c>
      <c r="F95" s="13" t="s">
        <v>176</v>
      </c>
      <c r="G95" s="13">
        <v>4</v>
      </c>
      <c r="H95" s="14">
        <v>105.54</v>
      </c>
      <c r="I95" s="15">
        <v>0.05</v>
      </c>
      <c r="J95" s="13" t="str">
        <f>UPPER(TRIM(Sales_Raw!$K95))</f>
        <v>CARD</v>
      </c>
      <c r="K95" s="13" t="s">
        <v>34</v>
      </c>
      <c r="L95" s="13" t="str">
        <f>PROPER(TRIM(Sales_Raw!$M95))</f>
        <v>Hasthampatti</v>
      </c>
      <c r="M95" s="13" t="s">
        <v>23</v>
      </c>
      <c r="N95" s="12" t="s">
        <v>53</v>
      </c>
      <c r="O95" s="13" t="s">
        <v>30</v>
      </c>
      <c r="P95" s="16" t="str">
        <f>VLOOKUP(Sales_Raw!$E95,ProductsMasterTable[#All],2,FALSE)</f>
        <v>Banana Chips</v>
      </c>
      <c r="Q95" s="16" t="str">
        <f>VLOOKUP(Sales_Raw!$E95,ProductsMasterTable[#All],3,FALSE)</f>
        <v>Snacks</v>
      </c>
      <c r="R95" s="16" t="str">
        <f>VLOOKUP(Sales_Raw!$E95,ProductsMasterTable[#All],4,FALSE)</f>
        <v>Tata</v>
      </c>
      <c r="S95" s="16">
        <f>VLOOKUP(Sales_Raw!$E95,ProductsMasterTable[#All],5,FALSE)</f>
        <v>95.3</v>
      </c>
      <c r="T95" s="16">
        <f>VLOOKUP(Sales_Raw!$E95,ProductsMasterTable[#All],6,FALSE)</f>
        <v>108.26</v>
      </c>
      <c r="U95" s="16" t="str">
        <f>VLOOKUP(Sales_Raw!$E95,ProductsMasterTable[#All],7,FALSE)</f>
        <v>Metro Supply Co</v>
      </c>
      <c r="V95" s="16" t="str">
        <f>IFERROR(VLOOKUP(Sales_Raw!$D95,CustomersMasterTable[#All],2,FALSE),"Guest")</f>
        <v>Karthik Selvam</v>
      </c>
      <c r="W95" s="16" t="str">
        <f>IFERROR(VLOOKUP(Sales_Raw!$D95,CustomersMasterTable[#All],3,FALSE),"Guest")</f>
        <v>Male</v>
      </c>
      <c r="X95" s="16">
        <f>IFERROR(VLOOKUP(Sales_Raw!$D95,CustomersMasterTable[#All],4,FALSE),"Guest")</f>
        <v>63</v>
      </c>
      <c r="Y95" s="16" t="str">
        <f>IFERROR(VLOOKUP(Sales_Raw!$D95,CustomersMasterTable[#All],5,FALSE),"Guest")</f>
        <v>Karur</v>
      </c>
      <c r="Z95" s="16" t="str">
        <f>IFERROR(VLOOKUP(Sales_Raw!$D95,CustomersMasterTable[#All],6,FALSE),"Guest")</f>
        <v>Regular</v>
      </c>
      <c r="AA95" s="18">
        <f>IFERROR(VLOOKUP(Sales_Raw!$D95,CustomersMasterTable[#All],7,FALSE),"Guest")</f>
        <v>46067</v>
      </c>
      <c r="AB95" s="23">
        <f>Master_Data[[#This Row],[Qty]]*Master_Data[[#This Row],[Unit_Price]]</f>
        <v>422.16</v>
      </c>
      <c r="AC95" s="23">
        <f>Master_Data[[#This Row],[Gross_ Sales]]*(1-Master_Data[[#This Row],[Discount Percentage]])</f>
        <v>401.05200000000002</v>
      </c>
      <c r="AD95" s="23">
        <f>Master_Data[[#This Row],[Net_Sales]]-(Master_Data[[#This Row],[Qty]]*Master_Data[[#This Row],[Cost_Price]])</f>
        <v>19.852000000000032</v>
      </c>
    </row>
    <row r="96" spans="1:30" ht="29.25">
      <c r="A96" s="8" t="s">
        <v>237</v>
      </c>
      <c r="B96" s="27">
        <f>DATEVALUE(Master_Data[[#This Row],[Sale_Date]])</f>
        <v>46240</v>
      </c>
      <c r="C96" s="8" t="s">
        <v>182</v>
      </c>
      <c r="D96" s="8" t="s">
        <v>20</v>
      </c>
      <c r="E96" s="8" t="str">
        <f>UPPER(TRIM(Sales_Raw!$F96))</f>
        <v>P1020</v>
      </c>
      <c r="F96" s="8" t="s">
        <v>73</v>
      </c>
      <c r="G96" s="8">
        <v>2</v>
      </c>
      <c r="H96" s="9">
        <v>420.69</v>
      </c>
      <c r="I96" s="10">
        <v>0</v>
      </c>
      <c r="J96" s="8" t="str">
        <f>UPPER(TRIM(Sales_Raw!$K96))</f>
        <v>CARD</v>
      </c>
      <c r="K96" s="8" t="s">
        <v>34</v>
      </c>
      <c r="L96" s="8" t="str">
        <f>PROPER(TRIM(Sales_Raw!$M96))</f>
        <v>Suramangalam</v>
      </c>
      <c r="M96" s="8" t="s">
        <v>40</v>
      </c>
      <c r="N96" s="7" t="s">
        <v>41</v>
      </c>
      <c r="O96" s="8" t="s">
        <v>65</v>
      </c>
      <c r="P96" s="11" t="str">
        <f>VLOOKUP(Sales_Raw!$E96,ProductsMasterTable[#All],2,FALSE)</f>
        <v>Tea 250g</v>
      </c>
      <c r="Q96" s="11" t="str">
        <f>VLOOKUP(Sales_Raw!$E96,ProductsMasterTable[#All],3,FALSE)</f>
        <v>Beverages</v>
      </c>
      <c r="R96" s="11" t="str">
        <f>VLOOKUP(Sales_Raw!$E96,ProductsMasterTable[#All],4,FALSE)</f>
        <v>ITC</v>
      </c>
      <c r="S96" s="11">
        <f>VLOOKUP(Sales_Raw!$E96,ProductsMasterTable[#All],5,FALSE)</f>
        <v>348.36</v>
      </c>
      <c r="T96" s="11">
        <f>VLOOKUP(Sales_Raw!$E96,ProductsMasterTable[#All],6,FALSE)</f>
        <v>454.67</v>
      </c>
      <c r="U96" s="11" t="str">
        <f>VLOOKUP(Sales_Raw!$E96,ProductsMasterTable[#All],7,FALSE)</f>
        <v>Metro Supply Co</v>
      </c>
      <c r="V96" s="11" t="str">
        <f>IFERROR(VLOOKUP(Sales_Raw!$D96,CustomersMasterTable[#All],2,FALSE),"Guest")</f>
        <v>Gayathri Kumar</v>
      </c>
      <c r="W96" s="11" t="str">
        <f>IFERROR(VLOOKUP(Sales_Raw!$D96,CustomersMasterTable[#All],3,FALSE),"Guest")</f>
        <v>Female</v>
      </c>
      <c r="X96" s="11">
        <f>IFERROR(VLOOKUP(Sales_Raw!$D96,CustomersMasterTable[#All],4,FALSE),"Guest")</f>
        <v>21</v>
      </c>
      <c r="Y96" s="11" t="str">
        <f>IFERROR(VLOOKUP(Sales_Raw!$D96,CustomersMasterTable[#All],5,FALSE),"Guest")</f>
        <v>Salem</v>
      </c>
      <c r="Z96" s="11" t="str">
        <f>IFERROR(VLOOKUP(Sales_Raw!$D96,CustomersMasterTable[#All],6,FALSE),"Guest")</f>
        <v>Silver</v>
      </c>
      <c r="AA96" s="17">
        <f>IFERROR(VLOOKUP(Sales_Raw!$D96,CustomersMasterTable[#All],7,FALSE),"Guest")</f>
        <v>46172</v>
      </c>
      <c r="AB96" s="23">
        <f>Master_Data[[#This Row],[Qty]]*Master_Data[[#This Row],[Unit_Price]]</f>
        <v>841.38</v>
      </c>
      <c r="AC96" s="23">
        <f>Master_Data[[#This Row],[Gross_ Sales]]*(1-Master_Data[[#This Row],[Discount Percentage]])</f>
        <v>841.38</v>
      </c>
      <c r="AD96" s="23">
        <f>Master_Data[[#This Row],[Net_Sales]]-(Master_Data[[#This Row],[Qty]]*Master_Data[[#This Row],[Cost_Price]])</f>
        <v>144.65999999999997</v>
      </c>
    </row>
    <row r="97" spans="1:30" ht="15">
      <c r="A97" s="13" t="s">
        <v>238</v>
      </c>
      <c r="B97" s="28">
        <f>DATEVALUE(Master_Data[[#This Row],[Sale_Date]])</f>
        <v>46270</v>
      </c>
      <c r="C97" s="13" t="s">
        <v>161</v>
      </c>
      <c r="D97" s="13" t="s">
        <v>90</v>
      </c>
      <c r="E97" s="13" t="str">
        <f>UPPER(TRIM(Sales_Raw!$F97))</f>
        <v>P1011</v>
      </c>
      <c r="F97" s="13" t="s">
        <v>57</v>
      </c>
      <c r="G97" s="13">
        <v>4</v>
      </c>
      <c r="H97" s="14">
        <v>493.71</v>
      </c>
      <c r="I97" s="15">
        <v>0.1</v>
      </c>
      <c r="J97" s="13" t="str">
        <f>UPPER(TRIM(Sales_Raw!$K97))</f>
        <v>CARD</v>
      </c>
      <c r="K97" s="13" t="s">
        <v>102</v>
      </c>
      <c r="L97" s="13" t="str">
        <f>PROPER(TRIM(Sales_Raw!$M97))</f>
        <v>Hasthampatti</v>
      </c>
      <c r="M97" s="13" t="s">
        <v>23</v>
      </c>
      <c r="N97" s="12" t="s">
        <v>41</v>
      </c>
      <c r="O97" s="13" t="s">
        <v>17</v>
      </c>
      <c r="P97" s="16" t="str">
        <f>VLOOKUP(Sales_Raw!$E97,ProductsMasterTable[#All],2,FALSE)</f>
        <v>Cheese Slices</v>
      </c>
      <c r="Q97" s="16" t="str">
        <f>VLOOKUP(Sales_Raw!$E97,ProductsMasterTable[#All],3,FALSE)</f>
        <v>Dairy</v>
      </c>
      <c r="R97" s="16" t="str">
        <f>VLOOKUP(Sales_Raw!$E97,ProductsMasterTable[#All],4,FALSE)</f>
        <v>Cavin's</v>
      </c>
      <c r="S97" s="16">
        <f>VLOOKUP(Sales_Raw!$E97,ProductsMasterTable[#All],5,FALSE)</f>
        <v>409.19</v>
      </c>
      <c r="T97" s="16">
        <f>VLOOKUP(Sales_Raw!$E97,ProductsMasterTable[#All],6,FALSE)</f>
        <v>493.92</v>
      </c>
      <c r="U97" s="16" t="str">
        <f>VLOOKUP(Sales_Raw!$E97,ProductsMasterTable[#All],7,FALSE)</f>
        <v>Metro Supply Co</v>
      </c>
      <c r="V97" s="16" t="str">
        <f>IFERROR(VLOOKUP(Sales_Raw!$D97,CustomersMasterTable[#All],2,FALSE),"Guest")</f>
        <v>Harish Selvam</v>
      </c>
      <c r="W97" s="16" t="str">
        <f>IFERROR(VLOOKUP(Sales_Raw!$D97,CustomersMasterTable[#All],3,FALSE),"Guest")</f>
        <v>Male</v>
      </c>
      <c r="X97" s="16">
        <f>IFERROR(VLOOKUP(Sales_Raw!$D97,CustomersMasterTable[#All],4,FALSE),"Guest")</f>
        <v>42</v>
      </c>
      <c r="Y97" s="16" t="str">
        <f>IFERROR(VLOOKUP(Sales_Raw!$D97,CustomersMasterTable[#All],5,FALSE),"Guest")</f>
        <v>Dharmapuri</v>
      </c>
      <c r="Z97" s="16" t="str">
        <f>IFERROR(VLOOKUP(Sales_Raw!$D97,CustomersMasterTable[#All],6,FALSE),"Guest")</f>
        <v>Regular</v>
      </c>
      <c r="AA97" s="18">
        <f>IFERROR(VLOOKUP(Sales_Raw!$D97,CustomersMasterTable[#All],7,FALSE),"Guest")</f>
        <v>45703</v>
      </c>
      <c r="AB97" s="23">
        <f>Master_Data[[#This Row],[Qty]]*Master_Data[[#This Row],[Unit_Price]]</f>
        <v>1974.84</v>
      </c>
      <c r="AC97" s="23">
        <f>Master_Data[[#This Row],[Gross_ Sales]]*(1-Master_Data[[#This Row],[Discount Percentage]])</f>
        <v>1777.356</v>
      </c>
      <c r="AD97" s="23">
        <f>Master_Data[[#This Row],[Net_Sales]]-(Master_Data[[#This Row],[Qty]]*Master_Data[[#This Row],[Cost_Price]])</f>
        <v>140.596</v>
      </c>
    </row>
    <row r="98" spans="1:30" ht="29.25">
      <c r="A98" s="8" t="s">
        <v>239</v>
      </c>
      <c r="B98" s="27">
        <f>DATEVALUE(Master_Data[[#This Row],[Sale_Date]])</f>
        <v>46262</v>
      </c>
      <c r="C98" s="8" t="s">
        <v>142</v>
      </c>
      <c r="D98" s="8" t="s">
        <v>186</v>
      </c>
      <c r="E98" s="8" t="str">
        <f>UPPER(TRIM(Sales_Raw!$F98))</f>
        <v>P1026</v>
      </c>
      <c r="F98" s="8" t="s">
        <v>108</v>
      </c>
      <c r="G98" s="8">
        <v>6</v>
      </c>
      <c r="H98" s="9">
        <v>260.14</v>
      </c>
      <c r="I98" s="10">
        <v>0.15</v>
      </c>
      <c r="J98" s="8" t="str">
        <f>UPPER(TRIM(Sales_Raw!$K98))</f>
        <v>CARD</v>
      </c>
      <c r="K98" s="8" t="s">
        <v>34</v>
      </c>
      <c r="L98" s="8" t="str">
        <f>PROPER(TRIM(Sales_Raw!$M98))</f>
        <v>Suramangalam</v>
      </c>
      <c r="M98" s="8" t="s">
        <v>40</v>
      </c>
      <c r="N98" s="7" t="s">
        <v>24</v>
      </c>
      <c r="O98" s="8" t="s">
        <v>25</v>
      </c>
      <c r="P98" s="11" t="str">
        <f>VLOOKUP(Sales_Raw!$E98,ProductsMasterTable[#All],2,FALSE)</f>
        <v>Dishwash Liquid</v>
      </c>
      <c r="Q98" s="11" t="str">
        <f>VLOOKUP(Sales_Raw!$E98,ProductsMasterTable[#All],3,FALSE)</f>
        <v>Household</v>
      </c>
      <c r="R98" s="11" t="str">
        <f>VLOOKUP(Sales_Raw!$E98,ProductsMasterTable[#All],4,FALSE)</f>
        <v>Aavin</v>
      </c>
      <c r="S98" s="11">
        <f>VLOOKUP(Sales_Raw!$E98,ProductsMasterTable[#All],5,FALSE)</f>
        <v>216.39</v>
      </c>
      <c r="T98" s="11">
        <f>VLOOKUP(Sales_Raw!$E98,ProductsMasterTable[#All],6,FALSE)</f>
        <v>279.97000000000003</v>
      </c>
      <c r="U98" s="11" t="str">
        <f>VLOOKUP(Sales_Raw!$E98,ProductsMasterTable[#All],7,FALSE)</f>
        <v>Kongu Distributors</v>
      </c>
      <c r="V98" s="11" t="str">
        <f>IFERROR(VLOOKUP(Sales_Raw!$D98,CustomersMasterTable[#All],2,FALSE),"Guest")</f>
        <v>Divya Raj</v>
      </c>
      <c r="W98" s="11" t="str">
        <f>IFERROR(VLOOKUP(Sales_Raw!$D98,CustomersMasterTable[#All],3,FALSE),"Guest")</f>
        <v>Female</v>
      </c>
      <c r="X98" s="11">
        <f>IFERROR(VLOOKUP(Sales_Raw!$D98,CustomersMasterTable[#All],4,FALSE),"Guest")</f>
        <v>31</v>
      </c>
      <c r="Y98" s="11" t="str">
        <f>IFERROR(VLOOKUP(Sales_Raw!$D98,CustomersMasterTable[#All],5,FALSE),"Guest")</f>
        <v>Dharmapuri</v>
      </c>
      <c r="Z98" s="11" t="str">
        <f>IFERROR(VLOOKUP(Sales_Raw!$D98,CustomersMasterTable[#All],6,FALSE),"Guest")</f>
        <v>Silver</v>
      </c>
      <c r="AA98" s="17">
        <f>IFERROR(VLOOKUP(Sales_Raw!$D98,CustomersMasterTable[#All],7,FALSE),"Guest")</f>
        <v>45863</v>
      </c>
      <c r="AB98" s="23">
        <f>Master_Data[[#This Row],[Qty]]*Master_Data[[#This Row],[Unit_Price]]</f>
        <v>1560.84</v>
      </c>
      <c r="AC98" s="23">
        <f>Master_Data[[#This Row],[Gross_ Sales]]*(1-Master_Data[[#This Row],[Discount Percentage]])</f>
        <v>1326.7139999999999</v>
      </c>
      <c r="AD98" s="23">
        <f>Master_Data[[#This Row],[Net_Sales]]-(Master_Data[[#This Row],[Qty]]*Master_Data[[#This Row],[Cost_Price]])</f>
        <v>28.374000000000024</v>
      </c>
    </row>
    <row r="99" spans="1:30" ht="15">
      <c r="A99" s="13" t="s">
        <v>240</v>
      </c>
      <c r="B99" s="28">
        <f>DATEVALUE(Master_Data[[#This Row],[Sale_Date]])</f>
        <v>46262</v>
      </c>
      <c r="C99" s="13" t="s">
        <v>142</v>
      </c>
      <c r="D99" s="13" t="s">
        <v>107</v>
      </c>
      <c r="E99" s="13" t="str">
        <f>UPPER(TRIM(Sales_Raw!$F99))</f>
        <v>P1029</v>
      </c>
      <c r="F99" s="13" t="s">
        <v>21</v>
      </c>
      <c r="G99" s="13">
        <v>2</v>
      </c>
      <c r="H99" s="14">
        <v>141.55000000000001</v>
      </c>
      <c r="I99" s="15">
        <v>0.05</v>
      </c>
      <c r="J99" s="13" t="str">
        <f>UPPER(TRIM(Sales_Raw!$K99))</f>
        <v>CASH</v>
      </c>
      <c r="K99" s="13" t="s">
        <v>14</v>
      </c>
      <c r="L99" s="13" t="str">
        <f>PROPER(TRIM(Sales_Raw!$M99))</f>
        <v>Hasthampatti</v>
      </c>
      <c r="M99" s="13" t="s">
        <v>23</v>
      </c>
      <c r="N99" s="12" t="s">
        <v>53</v>
      </c>
      <c r="O99" s="13" t="s">
        <v>25</v>
      </c>
      <c r="P99" s="16" t="str">
        <f>VLOOKUP(Sales_Raw!$E99,ProductsMasterTable[#All],2,FALSE)</f>
        <v>Tissue Roll</v>
      </c>
      <c r="Q99" s="16" t="str">
        <f>VLOOKUP(Sales_Raw!$E99,ProductsMasterTable[#All],3,FALSE)</f>
        <v>Household</v>
      </c>
      <c r="R99" s="16" t="str">
        <f>VLOOKUP(Sales_Raw!$E99,ProductsMasterTable[#All],4,FALSE)</f>
        <v>Aachi</v>
      </c>
      <c r="S99" s="16">
        <f>VLOOKUP(Sales_Raw!$E99,ProductsMasterTable[#All],5,FALSE)</f>
        <v>119.07</v>
      </c>
      <c r="T99" s="16">
        <f>VLOOKUP(Sales_Raw!$E99,ProductsMasterTable[#All],6,FALSE)</f>
        <v>148.51</v>
      </c>
      <c r="U99" s="16" t="str">
        <f>VLOOKUP(Sales_Raw!$E99,ProductsMasterTable[#All],7,FALSE)</f>
        <v>Salem Wholesale Mart</v>
      </c>
      <c r="V99" s="16" t="str">
        <f>IFERROR(VLOOKUP(Sales_Raw!$D99,CustomersMasterTable[#All],2,FALSE),"Guest")</f>
        <v>Meena M</v>
      </c>
      <c r="W99" s="16" t="str">
        <f>IFERROR(VLOOKUP(Sales_Raw!$D99,CustomersMasterTable[#All],3,FALSE),"Guest")</f>
        <v>Female</v>
      </c>
      <c r="X99" s="16">
        <f>IFERROR(VLOOKUP(Sales_Raw!$D99,CustomersMasterTable[#All],4,FALSE),"Guest")</f>
        <v>36</v>
      </c>
      <c r="Y99" s="16" t="str">
        <f>IFERROR(VLOOKUP(Sales_Raw!$D99,CustomersMasterTable[#All],5,FALSE),"Guest")</f>
        <v>Erode</v>
      </c>
      <c r="Z99" s="16" t="str">
        <f>IFERROR(VLOOKUP(Sales_Raw!$D99,CustomersMasterTable[#All],6,FALSE),"Guest")</f>
        <v>Regular</v>
      </c>
      <c r="AA99" s="18">
        <f>IFERROR(VLOOKUP(Sales_Raw!$D99,CustomersMasterTable[#All],7,FALSE),"Guest")</f>
        <v>46214</v>
      </c>
      <c r="AB99" s="23">
        <f>Master_Data[[#This Row],[Qty]]*Master_Data[[#This Row],[Unit_Price]]</f>
        <v>283.10000000000002</v>
      </c>
      <c r="AC99" s="23">
        <f>Master_Data[[#This Row],[Gross_ Sales]]*(1-Master_Data[[#This Row],[Discount Percentage]])</f>
        <v>268.94499999999999</v>
      </c>
      <c r="AD99" s="23">
        <f>Master_Data[[#This Row],[Net_Sales]]-(Master_Data[[#This Row],[Qty]]*Master_Data[[#This Row],[Cost_Price]])</f>
        <v>30.805000000000007</v>
      </c>
    </row>
    <row r="100" spans="1:30" ht="15">
      <c r="A100" s="8" t="s">
        <v>241</v>
      </c>
      <c r="B100" s="27">
        <f>DATEVALUE(Master_Data[[#This Row],[Sale_Date]])</f>
        <v>46255</v>
      </c>
      <c r="C100" s="8" t="s">
        <v>158</v>
      </c>
      <c r="D100" s="8" t="s">
        <v>242</v>
      </c>
      <c r="E100" s="8" t="str">
        <f>UPPER(TRIM(Sales_Raw!$F100))</f>
        <v>P1011</v>
      </c>
      <c r="F100" s="8" t="s">
        <v>57</v>
      </c>
      <c r="G100" s="8">
        <v>6</v>
      </c>
      <c r="H100" s="9">
        <v>464.48</v>
      </c>
      <c r="I100" s="10">
        <v>0.1</v>
      </c>
      <c r="J100" s="8" t="str">
        <f>UPPER(TRIM(Sales_Raw!$K100))</f>
        <v>CARD</v>
      </c>
      <c r="K100" s="8" t="s">
        <v>34</v>
      </c>
      <c r="L100" s="8" t="str">
        <f>PROPER(TRIM(Sales_Raw!$M100))</f>
        <v>Hasthampatti</v>
      </c>
      <c r="M100" s="8" t="s">
        <v>23</v>
      </c>
      <c r="N100" s="7" t="s">
        <v>53</v>
      </c>
      <c r="O100" s="8" t="s">
        <v>17</v>
      </c>
      <c r="P100" s="11" t="str">
        <f>VLOOKUP(Sales_Raw!$E100,ProductsMasterTable[#All],2,FALSE)</f>
        <v>Cheese Slices</v>
      </c>
      <c r="Q100" s="11" t="str">
        <f>VLOOKUP(Sales_Raw!$E100,ProductsMasterTable[#All],3,FALSE)</f>
        <v>Dairy</v>
      </c>
      <c r="R100" s="11" t="str">
        <f>VLOOKUP(Sales_Raw!$E100,ProductsMasterTable[#All],4,FALSE)</f>
        <v>Cavin's</v>
      </c>
      <c r="S100" s="11">
        <f>VLOOKUP(Sales_Raw!$E100,ProductsMasterTable[#All],5,FALSE)</f>
        <v>409.19</v>
      </c>
      <c r="T100" s="11">
        <f>VLOOKUP(Sales_Raw!$E100,ProductsMasterTable[#All],6,FALSE)</f>
        <v>493.92</v>
      </c>
      <c r="U100" s="11" t="str">
        <f>VLOOKUP(Sales_Raw!$E100,ProductsMasterTable[#All],7,FALSE)</f>
        <v>Metro Supply Co</v>
      </c>
      <c r="V100" s="11" t="str">
        <f>IFERROR(VLOOKUP(Sales_Raw!$D100,CustomersMasterTable[#All],2,FALSE),"Guest")</f>
        <v>Meena Priyan</v>
      </c>
      <c r="W100" s="11" t="str">
        <f>IFERROR(VLOOKUP(Sales_Raw!$D100,CustomersMasterTable[#All],3,FALSE),"Guest")</f>
        <v>Male</v>
      </c>
      <c r="X100" s="11">
        <f>IFERROR(VLOOKUP(Sales_Raw!$D100,CustomersMasterTable[#All],4,FALSE),"Guest")</f>
        <v>50</v>
      </c>
      <c r="Y100" s="11" t="str">
        <f>IFERROR(VLOOKUP(Sales_Raw!$D100,CustomersMasterTable[#All],5,FALSE),"Guest")</f>
        <v>Namakkal</v>
      </c>
      <c r="Z100" s="11" t="str">
        <f>IFERROR(VLOOKUP(Sales_Raw!$D100,CustomersMasterTable[#All],6,FALSE),"Guest")</f>
        <v>Regular</v>
      </c>
      <c r="AA100" s="17">
        <f>IFERROR(VLOOKUP(Sales_Raw!$D100,CustomersMasterTable[#All],7,FALSE),"Guest")</f>
        <v>46015</v>
      </c>
      <c r="AB100" s="23">
        <f>Master_Data[[#This Row],[Qty]]*Master_Data[[#This Row],[Unit_Price]]</f>
        <v>2786.88</v>
      </c>
      <c r="AC100" s="23">
        <f>Master_Data[[#This Row],[Gross_ Sales]]*(1-Master_Data[[#This Row],[Discount Percentage]])</f>
        <v>2508.192</v>
      </c>
      <c r="AD100" s="23">
        <f>Master_Data[[#This Row],[Net_Sales]]-(Master_Data[[#This Row],[Qty]]*Master_Data[[#This Row],[Cost_Price]])</f>
        <v>53.052000000000135</v>
      </c>
    </row>
    <row r="101" spans="1:30" ht="15">
      <c r="A101" s="13" t="s">
        <v>243</v>
      </c>
      <c r="B101" s="28">
        <f>DATEVALUE(Master_Data[[#This Row],[Sale_Date]])</f>
        <v>46240</v>
      </c>
      <c r="C101" s="13" t="s">
        <v>182</v>
      </c>
      <c r="D101" s="13" t="s">
        <v>47</v>
      </c>
      <c r="E101" s="13" t="str">
        <f>UPPER(TRIM(Sales_Raw!$F101))</f>
        <v>P1003</v>
      </c>
      <c r="F101" s="13" t="s">
        <v>59</v>
      </c>
      <c r="G101" s="13">
        <v>1</v>
      </c>
      <c r="H101" s="14">
        <v>274.81</v>
      </c>
      <c r="I101" s="15">
        <v>0.15</v>
      </c>
      <c r="J101" s="13" t="str">
        <f>UPPER(TRIM(Sales_Raw!$K101))</f>
        <v>CARD</v>
      </c>
      <c r="K101" s="13" t="s">
        <v>34</v>
      </c>
      <c r="L101" s="13" t="str">
        <f>PROPER(TRIM(Sales_Raw!$M101))</f>
        <v>Hasthampatti</v>
      </c>
      <c r="M101" s="13" t="s">
        <v>23</v>
      </c>
      <c r="N101" s="12" t="s">
        <v>24</v>
      </c>
      <c r="O101" s="13" t="s">
        <v>54</v>
      </c>
      <c r="P101" s="16" t="str">
        <f>VLOOKUP(Sales_Raw!$E101,ProductsMasterTable[#All],2,FALSE)</f>
        <v>Toor Dal 1kg</v>
      </c>
      <c r="Q101" s="16" t="str">
        <f>VLOOKUP(Sales_Raw!$E101,ProductsMasterTable[#All],3,FALSE)</f>
        <v>Staples</v>
      </c>
      <c r="R101" s="16" t="str">
        <f>VLOOKUP(Sales_Raw!$E101,ProductsMasterTable[#All],4,FALSE)</f>
        <v>Aavin</v>
      </c>
      <c r="S101" s="16">
        <f>VLOOKUP(Sales_Raw!$E101,ProductsMasterTable[#All],5,FALSE)</f>
        <v>255.38</v>
      </c>
      <c r="T101" s="16">
        <f>VLOOKUP(Sales_Raw!$E101,ProductsMasterTable[#All],6,FALSE)</f>
        <v>287.89</v>
      </c>
      <c r="U101" s="16" t="str">
        <f>VLOOKUP(Sales_Raw!$E101,ProductsMasterTable[#All],7,FALSE)</f>
        <v>Kongu Distributors</v>
      </c>
      <c r="V101" s="16" t="str">
        <f>IFERROR(VLOOKUP(Sales_Raw!$D101,CustomersMasterTable[#All],2,FALSE),"Guest")</f>
        <v>Naveen S</v>
      </c>
      <c r="W101" s="16" t="str">
        <f>IFERROR(VLOOKUP(Sales_Raw!$D101,CustomersMasterTable[#All],3,FALSE),"Guest")</f>
        <v>Male</v>
      </c>
      <c r="X101" s="16">
        <f>IFERROR(VLOOKUP(Sales_Raw!$D101,CustomersMasterTable[#All],4,FALSE),"Guest")</f>
        <v>20</v>
      </c>
      <c r="Y101" s="16" t="str">
        <f>IFERROR(VLOOKUP(Sales_Raw!$D101,CustomersMasterTable[#All],5,FALSE),"Guest")</f>
        <v>Erode</v>
      </c>
      <c r="Z101" s="16" t="str">
        <f>IFERROR(VLOOKUP(Sales_Raw!$D101,CustomersMasterTable[#All],6,FALSE),"Guest")</f>
        <v>Gold</v>
      </c>
      <c r="AA101" s="18">
        <f>IFERROR(VLOOKUP(Sales_Raw!$D101,CustomersMasterTable[#All],7,FALSE),"Guest")</f>
        <v>45732</v>
      </c>
      <c r="AB101" s="23">
        <f>Master_Data[[#This Row],[Qty]]*Master_Data[[#This Row],[Unit_Price]]</f>
        <v>274.81</v>
      </c>
      <c r="AC101" s="23">
        <f>Master_Data[[#This Row],[Gross_ Sales]]*(1-Master_Data[[#This Row],[Discount Percentage]])</f>
        <v>233.58849999999998</v>
      </c>
      <c r="AD101" s="23">
        <f>Master_Data[[#This Row],[Net_Sales]]-(Master_Data[[#This Row],[Qty]]*Master_Data[[#This Row],[Cost_Price]])</f>
        <v>-21.791500000000013</v>
      </c>
    </row>
    <row r="102" spans="1:30" ht="15">
      <c r="A102" s="8" t="s">
        <v>244</v>
      </c>
      <c r="B102" s="27">
        <f>DATEVALUE(Master_Data[[#This Row],[Sale_Date]])</f>
        <v>46270</v>
      </c>
      <c r="C102" s="8" t="s">
        <v>245</v>
      </c>
      <c r="D102" s="8" t="s">
        <v>221</v>
      </c>
      <c r="E102" s="8" t="str">
        <f>UPPER(TRIM(Sales_Raw!$F102))</f>
        <v>P1019</v>
      </c>
      <c r="F102" s="8" t="s">
        <v>84</v>
      </c>
      <c r="G102" s="8">
        <v>5</v>
      </c>
      <c r="H102" s="9">
        <v>371.73</v>
      </c>
      <c r="I102" s="10">
        <v>0.15</v>
      </c>
      <c r="J102" s="8" t="str">
        <f>UPPER(TRIM(Sales_Raw!$K102))</f>
        <v>UPI</v>
      </c>
      <c r="K102" s="8" t="s">
        <v>22</v>
      </c>
      <c r="L102" s="8" t="str">
        <f>PROPER(TRIM(Sales_Raw!$M102))</f>
        <v>Hasthampatti</v>
      </c>
      <c r="M102" s="8" t="s">
        <v>23</v>
      </c>
      <c r="N102" s="7" t="s">
        <v>16</v>
      </c>
      <c r="O102" s="8" t="s">
        <v>65</v>
      </c>
      <c r="P102" s="11" t="str">
        <f>VLOOKUP(Sales_Raw!$E102,ProductsMasterTable[#All],2,FALSE)</f>
        <v>Cola 750ml</v>
      </c>
      <c r="Q102" s="11" t="str">
        <f>VLOOKUP(Sales_Raw!$E102,ProductsMasterTable[#All],3,FALSE)</f>
        <v>Beverages</v>
      </c>
      <c r="R102" s="11" t="str">
        <f>VLOOKUP(Sales_Raw!$E102,ProductsMasterTable[#All],4,FALSE)</f>
        <v>Aachi</v>
      </c>
      <c r="S102" s="11">
        <f>VLOOKUP(Sales_Raw!$E102,ProductsMasterTable[#All],5,FALSE)</f>
        <v>293.20999999999998</v>
      </c>
      <c r="T102" s="11">
        <f>VLOOKUP(Sales_Raw!$E102,ProductsMasterTable[#All],6,FALSE)</f>
        <v>385.24</v>
      </c>
      <c r="U102" s="11" t="str">
        <f>VLOOKUP(Sales_Raw!$E102,ProductsMasterTable[#All],7,FALSE)</f>
        <v>Kongu Distributors</v>
      </c>
      <c r="V102" s="11" t="str">
        <f>IFERROR(VLOOKUP(Sales_Raw!$D102,CustomersMasterTable[#All],2,FALSE),"Guest")</f>
        <v>Arun Shree</v>
      </c>
      <c r="W102" s="11" t="str">
        <f>IFERROR(VLOOKUP(Sales_Raw!$D102,CustomersMasterTable[#All],3,FALSE),"Guest")</f>
        <v>Female</v>
      </c>
      <c r="X102" s="11">
        <f>IFERROR(VLOOKUP(Sales_Raw!$D102,CustomersMasterTable[#All],4,FALSE),"Guest")</f>
        <v>49</v>
      </c>
      <c r="Y102" s="11" t="str">
        <f>IFERROR(VLOOKUP(Sales_Raw!$D102,CustomersMasterTable[#All],5,FALSE),"Guest")</f>
        <v>Salem</v>
      </c>
      <c r="Z102" s="11" t="str">
        <f>IFERROR(VLOOKUP(Sales_Raw!$D102,CustomersMasterTable[#All],6,FALSE),"Guest")</f>
        <v>Regular</v>
      </c>
      <c r="AA102" s="17">
        <f>IFERROR(VLOOKUP(Sales_Raw!$D102,CustomersMasterTable[#All],7,FALSE),"Guest")</f>
        <v>46029</v>
      </c>
      <c r="AB102" s="23">
        <f>Master_Data[[#This Row],[Qty]]*Master_Data[[#This Row],[Unit_Price]]</f>
        <v>1858.65</v>
      </c>
      <c r="AC102" s="23">
        <f>Master_Data[[#This Row],[Gross_ Sales]]*(1-Master_Data[[#This Row],[Discount Percentage]])</f>
        <v>1579.8525</v>
      </c>
      <c r="AD102" s="23">
        <f>Master_Data[[#This Row],[Net_Sales]]-(Master_Data[[#This Row],[Qty]]*Master_Data[[#This Row],[Cost_Price]])</f>
        <v>113.80250000000001</v>
      </c>
    </row>
    <row r="103" spans="1:30" ht="15">
      <c r="A103" s="13" t="s">
        <v>246</v>
      </c>
      <c r="B103" s="28">
        <f>DATEVALUE(Master_Data[[#This Row],[Sale_Date]])</f>
        <v>46262</v>
      </c>
      <c r="C103" s="13" t="s">
        <v>142</v>
      </c>
      <c r="D103" s="13" t="s">
        <v>179</v>
      </c>
      <c r="E103" s="13" t="str">
        <f>UPPER(TRIM(Sales_Raw!$F103))</f>
        <v>P1030</v>
      </c>
      <c r="F103" s="13" t="s">
        <v>96</v>
      </c>
      <c r="G103" s="13">
        <v>6</v>
      </c>
      <c r="H103" s="14">
        <v>335.61</v>
      </c>
      <c r="I103" s="15">
        <v>0</v>
      </c>
      <c r="J103" s="13" t="str">
        <f>UPPER(TRIM(Sales_Raw!$K103))</f>
        <v>CARD</v>
      </c>
      <c r="K103" s="13" t="s">
        <v>34</v>
      </c>
      <c r="L103" s="13" t="str">
        <f>PROPER(TRIM(Sales_Raw!$M103))</f>
        <v>Hasthampatti</v>
      </c>
      <c r="M103" s="13" t="s">
        <v>23</v>
      </c>
      <c r="N103" s="12" t="s">
        <v>16</v>
      </c>
      <c r="O103" s="13" t="s">
        <v>25</v>
      </c>
      <c r="P103" s="16" t="str">
        <f>VLOOKUP(Sales_Raw!$E103,ProductsMasterTable[#All],2,FALSE)</f>
        <v>Garbage Bags</v>
      </c>
      <c r="Q103" s="16" t="str">
        <f>VLOOKUP(Sales_Raw!$E103,ProductsMasterTable[#All],3,FALSE)</f>
        <v>Household</v>
      </c>
      <c r="R103" s="16" t="str">
        <f>VLOOKUP(Sales_Raw!$E103,ProductsMasterTable[#All],4,FALSE)</f>
        <v>Nestle</v>
      </c>
      <c r="S103" s="16">
        <f>VLOOKUP(Sales_Raw!$E103,ProductsMasterTable[#All],5,FALSE)</f>
        <v>292.05</v>
      </c>
      <c r="T103" s="16">
        <f>VLOOKUP(Sales_Raw!$E103,ProductsMasterTable[#All],6,FALSE)</f>
        <v>363.17</v>
      </c>
      <c r="U103" s="16" t="str">
        <f>VLOOKUP(Sales_Raw!$E103,ProductsMasterTable[#All],7,FALSE)</f>
        <v>Metro Supply Co</v>
      </c>
      <c r="V103" s="16" t="str">
        <f>IFERROR(VLOOKUP(Sales_Raw!$D103,CustomersMasterTable[#All],2,FALSE),"Guest")</f>
        <v>Keerthi S</v>
      </c>
      <c r="W103" s="16" t="str">
        <f>IFERROR(VLOOKUP(Sales_Raw!$D103,CustomersMasterTable[#All],3,FALSE),"Guest")</f>
        <v>Male</v>
      </c>
      <c r="X103" s="16">
        <f>IFERROR(VLOOKUP(Sales_Raw!$D103,CustomersMasterTable[#All],4,FALSE),"Guest")</f>
        <v>66</v>
      </c>
      <c r="Y103" s="16" t="str">
        <f>IFERROR(VLOOKUP(Sales_Raw!$D103,CustomersMasterTable[#All],5,FALSE),"Guest")</f>
        <v>Salem</v>
      </c>
      <c r="Z103" s="16" t="str">
        <f>IFERROR(VLOOKUP(Sales_Raw!$D103,CustomersMasterTable[#All],6,FALSE),"Guest")</f>
        <v>Silver</v>
      </c>
      <c r="AA103" s="18">
        <f>IFERROR(VLOOKUP(Sales_Raw!$D103,CustomersMasterTable[#All],7,FALSE),"Guest")</f>
        <v>45882</v>
      </c>
      <c r="AB103" s="23">
        <f>Master_Data[[#This Row],[Qty]]*Master_Data[[#This Row],[Unit_Price]]</f>
        <v>2013.66</v>
      </c>
      <c r="AC103" s="23">
        <f>Master_Data[[#This Row],[Gross_ Sales]]*(1-Master_Data[[#This Row],[Discount Percentage]])</f>
        <v>2013.66</v>
      </c>
      <c r="AD103" s="23">
        <f>Master_Data[[#This Row],[Net_Sales]]-(Master_Data[[#This Row],[Qty]]*Master_Data[[#This Row],[Cost_Price]])</f>
        <v>261.3599999999999</v>
      </c>
    </row>
    <row r="104" spans="1:30" ht="15">
      <c r="A104" s="8" t="s">
        <v>247</v>
      </c>
      <c r="B104" s="27">
        <f>DATEVALUE(Master_Data[[#This Row],[Sale_Date]])</f>
        <v>46241</v>
      </c>
      <c r="C104" s="8" t="s">
        <v>75</v>
      </c>
      <c r="D104" s="8" t="s">
        <v>134</v>
      </c>
      <c r="E104" s="8" t="str">
        <f>UPPER(TRIM(Sales_Raw!$F104))</f>
        <v>P1017</v>
      </c>
      <c r="F104" s="8" t="s">
        <v>132</v>
      </c>
      <c r="G104" s="8">
        <v>2</v>
      </c>
      <c r="H104" s="9">
        <v>284.14999999999998</v>
      </c>
      <c r="I104" s="10">
        <v>0.05</v>
      </c>
      <c r="J104" s="8" t="str">
        <f>UPPER(TRIM(Sales_Raw!$K104))</f>
        <v>UPI</v>
      </c>
      <c r="K104" s="8" t="s">
        <v>22</v>
      </c>
      <c r="L104" s="8" t="str">
        <f>PROPER(TRIM(Sales_Raw!$M104))</f>
        <v>Fairlands</v>
      </c>
      <c r="M104" s="8" t="s">
        <v>15</v>
      </c>
      <c r="N104" s="7" t="s">
        <v>16</v>
      </c>
      <c r="O104" s="8" t="s">
        <v>65</v>
      </c>
      <c r="P104" s="11" t="str">
        <f>VLOOKUP(Sales_Raw!$E104,ProductsMasterTable[#All],2,FALSE)</f>
        <v>Mineral Water 1L</v>
      </c>
      <c r="Q104" s="11" t="str">
        <f>VLOOKUP(Sales_Raw!$E104,ProductsMasterTable[#All],3,FALSE)</f>
        <v>Beverages</v>
      </c>
      <c r="R104" s="11" t="str">
        <f>VLOOKUP(Sales_Raw!$E104,ProductsMasterTable[#All],4,FALSE)</f>
        <v>Tata</v>
      </c>
      <c r="S104" s="11">
        <f>VLOOKUP(Sales_Raw!$E104,ProductsMasterTable[#All],5,FALSE)</f>
        <v>262.87</v>
      </c>
      <c r="T104" s="11">
        <f>VLOOKUP(Sales_Raw!$E104,ProductsMasterTable[#All],6,FALSE)</f>
        <v>304.76</v>
      </c>
      <c r="U104" s="11" t="str">
        <f>VLOOKUP(Sales_Raw!$E104,ProductsMasterTable[#All],7,FALSE)</f>
        <v>Kongu Distributors</v>
      </c>
      <c r="V104" s="11" t="str">
        <f>IFERROR(VLOOKUP(Sales_Raw!$D104,CustomersMasterTable[#All],2,FALSE),"Guest")</f>
        <v>Kavin Raj</v>
      </c>
      <c r="W104" s="11" t="str">
        <f>IFERROR(VLOOKUP(Sales_Raw!$D104,CustomersMasterTable[#All],3,FALSE),"Guest")</f>
        <v>Female</v>
      </c>
      <c r="X104" s="11">
        <f>IFERROR(VLOOKUP(Sales_Raw!$D104,CustomersMasterTable[#All],4,FALSE),"Guest")</f>
        <v>68</v>
      </c>
      <c r="Y104" s="11" t="str">
        <f>IFERROR(VLOOKUP(Sales_Raw!$D104,CustomersMasterTable[#All],5,FALSE),"Guest")</f>
        <v>Salem</v>
      </c>
      <c r="Z104" s="11" t="str">
        <f>IFERROR(VLOOKUP(Sales_Raw!$D104,CustomersMasterTable[#All],6,FALSE),"Guest")</f>
        <v>Gold</v>
      </c>
      <c r="AA104" s="17">
        <f>IFERROR(VLOOKUP(Sales_Raw!$D104,CustomersMasterTable[#All],7,FALSE),"Guest")</f>
        <v>45873</v>
      </c>
      <c r="AB104" s="23">
        <f>Master_Data[[#This Row],[Qty]]*Master_Data[[#This Row],[Unit_Price]]</f>
        <v>568.29999999999995</v>
      </c>
      <c r="AC104" s="23">
        <f>Master_Data[[#This Row],[Gross_ Sales]]*(1-Master_Data[[#This Row],[Discount Percentage]])</f>
        <v>539.88499999999988</v>
      </c>
      <c r="AD104" s="23">
        <f>Master_Data[[#This Row],[Net_Sales]]-(Master_Data[[#This Row],[Qty]]*Master_Data[[#This Row],[Cost_Price]])</f>
        <v>14.144999999999868</v>
      </c>
    </row>
    <row r="105" spans="1:30" ht="29.25">
      <c r="A105" s="13" t="s">
        <v>248</v>
      </c>
      <c r="B105" s="28">
        <f>DATEVALUE(Master_Data[[#This Row],[Sale_Date]])</f>
        <v>46270</v>
      </c>
      <c r="C105" s="13" t="s">
        <v>161</v>
      </c>
      <c r="D105" s="13" t="s">
        <v>249</v>
      </c>
      <c r="E105" s="13" t="str">
        <f>UPPER(TRIM(Sales_Raw!$F105))</f>
        <v>P1004</v>
      </c>
      <c r="F105" s="13" t="s">
        <v>159</v>
      </c>
      <c r="G105" s="13">
        <v>3</v>
      </c>
      <c r="H105" s="14">
        <v>135.58000000000001</v>
      </c>
      <c r="I105" s="15">
        <v>0.05</v>
      </c>
      <c r="J105" s="13" t="str">
        <f>UPPER(TRIM(Sales_Raw!$K105))</f>
        <v>CARD</v>
      </c>
      <c r="K105" s="13" t="s">
        <v>34</v>
      </c>
      <c r="L105" s="13" t="str">
        <f>PROPER(TRIM(Sales_Raw!$M105))</f>
        <v>Suramangalam</v>
      </c>
      <c r="M105" s="13" t="s">
        <v>40</v>
      </c>
      <c r="N105" s="12" t="s">
        <v>41</v>
      </c>
      <c r="O105" s="13" t="s">
        <v>54</v>
      </c>
      <c r="P105" s="16" t="str">
        <f>VLOOKUP(Sales_Raw!$E105,ProductsMasterTable[#All],2,FALSE)</f>
        <v>Urad Dal 1kg</v>
      </c>
      <c r="Q105" s="16" t="str">
        <f>VLOOKUP(Sales_Raw!$E105,ProductsMasterTable[#All],3,FALSE)</f>
        <v>Staples</v>
      </c>
      <c r="R105" s="16" t="str">
        <f>VLOOKUP(Sales_Raw!$E105,ProductsMasterTable[#All],4,FALSE)</f>
        <v>Cavin's</v>
      </c>
      <c r="S105" s="16">
        <f>VLOOKUP(Sales_Raw!$E105,ProductsMasterTable[#All],5,FALSE)</f>
        <v>111.53</v>
      </c>
      <c r="T105" s="16">
        <f>VLOOKUP(Sales_Raw!$E105,ProductsMasterTable[#All],6,FALSE)</f>
        <v>140.36000000000001</v>
      </c>
      <c r="U105" s="16" t="str">
        <f>VLOOKUP(Sales_Raw!$E105,ProductsMasterTable[#All],7,FALSE)</f>
        <v>Kongu Distributors</v>
      </c>
      <c r="V105" s="16" t="str">
        <f>IFERROR(VLOOKUP(Sales_Raw!$D105,CustomersMasterTable[#All],2,FALSE),"Guest")</f>
        <v>Keerthi Shree</v>
      </c>
      <c r="W105" s="16" t="str">
        <f>IFERROR(VLOOKUP(Sales_Raw!$D105,CustomersMasterTable[#All],3,FALSE),"Guest")</f>
        <v>Male</v>
      </c>
      <c r="X105" s="16">
        <f>IFERROR(VLOOKUP(Sales_Raw!$D105,CustomersMasterTable[#All],4,FALSE),"Guest")</f>
        <v>57</v>
      </c>
      <c r="Y105" s="16" t="str">
        <f>IFERROR(VLOOKUP(Sales_Raw!$D105,CustomersMasterTable[#All],5,FALSE),"Guest")</f>
        <v>Salem</v>
      </c>
      <c r="Z105" s="16" t="str">
        <f>IFERROR(VLOOKUP(Sales_Raw!$D105,CustomersMasterTable[#All],6,FALSE),"Guest")</f>
        <v>Regular</v>
      </c>
      <c r="AA105" s="18">
        <f>IFERROR(VLOOKUP(Sales_Raw!$D105,CustomersMasterTable[#All],7,FALSE),"Guest")</f>
        <v>46255</v>
      </c>
      <c r="AB105" s="23">
        <f>Master_Data[[#This Row],[Qty]]*Master_Data[[#This Row],[Unit_Price]]</f>
        <v>406.74</v>
      </c>
      <c r="AC105" s="23">
        <f>Master_Data[[#This Row],[Gross_ Sales]]*(1-Master_Data[[#This Row],[Discount Percentage]])</f>
        <v>386.40299999999996</v>
      </c>
      <c r="AD105" s="23">
        <f>Master_Data[[#This Row],[Net_Sales]]-(Master_Data[[#This Row],[Qty]]*Master_Data[[#This Row],[Cost_Price]])</f>
        <v>51.812999999999931</v>
      </c>
    </row>
    <row r="106" spans="1:30" ht="15">
      <c r="A106" s="8" t="s">
        <v>250</v>
      </c>
      <c r="B106" s="27">
        <f>DATEVALUE(Master_Data[[#This Row],[Sale_Date]])</f>
        <v>46270</v>
      </c>
      <c r="C106" s="8" t="s">
        <v>161</v>
      </c>
      <c r="D106" s="8" t="s">
        <v>251</v>
      </c>
      <c r="E106" s="8" t="str">
        <f>UPPER(TRIM(Sales_Raw!$F106))</f>
        <v>P1020</v>
      </c>
      <c r="F106" s="8" t="s">
        <v>73</v>
      </c>
      <c r="G106" s="8">
        <v>6</v>
      </c>
      <c r="H106" s="9">
        <v>448.47</v>
      </c>
      <c r="I106" s="10">
        <v>0</v>
      </c>
      <c r="J106" s="8" t="str">
        <f>UPPER(TRIM(Sales_Raw!$K106))</f>
        <v>UPI</v>
      </c>
      <c r="K106" s="8" t="s">
        <v>22</v>
      </c>
      <c r="L106" s="8" t="str">
        <f>PROPER(TRIM(Sales_Raw!$M106))</f>
        <v>Fairlands</v>
      </c>
      <c r="M106" s="8" t="s">
        <v>15</v>
      </c>
      <c r="N106" s="7" t="s">
        <v>16</v>
      </c>
      <c r="O106" s="8" t="s">
        <v>65</v>
      </c>
      <c r="P106" s="11" t="str">
        <f>VLOOKUP(Sales_Raw!$E106,ProductsMasterTable[#All],2,FALSE)</f>
        <v>Tea 250g</v>
      </c>
      <c r="Q106" s="11" t="str">
        <f>VLOOKUP(Sales_Raw!$E106,ProductsMasterTable[#All],3,FALSE)</f>
        <v>Beverages</v>
      </c>
      <c r="R106" s="11" t="str">
        <f>VLOOKUP(Sales_Raw!$E106,ProductsMasterTable[#All],4,FALSE)</f>
        <v>ITC</v>
      </c>
      <c r="S106" s="11">
        <f>VLOOKUP(Sales_Raw!$E106,ProductsMasterTable[#All],5,FALSE)</f>
        <v>348.36</v>
      </c>
      <c r="T106" s="11">
        <f>VLOOKUP(Sales_Raw!$E106,ProductsMasterTable[#All],6,FALSE)</f>
        <v>454.67</v>
      </c>
      <c r="U106" s="11" t="str">
        <f>VLOOKUP(Sales_Raw!$E106,ProductsMasterTable[#All],7,FALSE)</f>
        <v>Metro Supply Co</v>
      </c>
      <c r="V106" s="11" t="str">
        <f>IFERROR(VLOOKUP(Sales_Raw!$D106,CustomersMasterTable[#All],2,FALSE),"Guest")</f>
        <v>Praveen S</v>
      </c>
      <c r="W106" s="11" t="str">
        <f>IFERROR(VLOOKUP(Sales_Raw!$D106,CustomersMasterTable[#All],3,FALSE),"Guest")</f>
        <v>Male</v>
      </c>
      <c r="X106" s="11">
        <f>IFERROR(VLOOKUP(Sales_Raw!$D106,CustomersMasterTable[#All],4,FALSE),"Guest")</f>
        <v>58</v>
      </c>
      <c r="Y106" s="11" t="str">
        <f>IFERROR(VLOOKUP(Sales_Raw!$D106,CustomersMasterTable[#All],5,FALSE),"Guest")</f>
        <v>Namakkal</v>
      </c>
      <c r="Z106" s="11" t="str">
        <f>IFERROR(VLOOKUP(Sales_Raw!$D106,CustomersMasterTable[#All],6,FALSE),"Guest")</f>
        <v>Silver</v>
      </c>
      <c r="AA106" s="17">
        <f>IFERROR(VLOOKUP(Sales_Raw!$D106,CustomersMasterTable[#All],7,FALSE),"Guest")</f>
        <v>46177</v>
      </c>
      <c r="AB106" s="23">
        <f>Master_Data[[#This Row],[Qty]]*Master_Data[[#This Row],[Unit_Price]]</f>
        <v>2690.82</v>
      </c>
      <c r="AC106" s="23">
        <f>Master_Data[[#This Row],[Gross_ Sales]]*(1-Master_Data[[#This Row],[Discount Percentage]])</f>
        <v>2690.82</v>
      </c>
      <c r="AD106" s="23">
        <f>Master_Data[[#This Row],[Net_Sales]]-(Master_Data[[#This Row],[Qty]]*Master_Data[[#This Row],[Cost_Price]])</f>
        <v>600.66000000000031</v>
      </c>
    </row>
    <row r="107" spans="1:30" ht="29.25">
      <c r="A107" s="13" t="s">
        <v>252</v>
      </c>
      <c r="B107" s="28">
        <f>DATEVALUE(Master_Data[[#This Row],[Sale_Date]])</f>
        <v>46254</v>
      </c>
      <c r="C107" s="13" t="s">
        <v>120</v>
      </c>
      <c r="D107" s="13" t="s">
        <v>209</v>
      </c>
      <c r="E107" s="13" t="str">
        <f>UPPER(TRIM(Sales_Raw!$F107))</f>
        <v>P1011</v>
      </c>
      <c r="F107" s="13" t="s">
        <v>57</v>
      </c>
      <c r="G107" s="13">
        <v>3</v>
      </c>
      <c r="H107" s="14">
        <v>454.65</v>
      </c>
      <c r="I107" s="15">
        <v>0</v>
      </c>
      <c r="J107" s="13" t="str">
        <f>UPPER(TRIM(Sales_Raw!$K107))</f>
        <v>CARD</v>
      </c>
      <c r="K107" s="13" t="s">
        <v>34</v>
      </c>
      <c r="L107" s="13" t="str">
        <f>PROPER(TRIM(Sales_Raw!$M107))</f>
        <v>Suramangalam</v>
      </c>
      <c r="M107" s="13" t="s">
        <v>40</v>
      </c>
      <c r="N107" s="12" t="s">
        <v>35</v>
      </c>
      <c r="O107" s="13" t="s">
        <v>17</v>
      </c>
      <c r="P107" s="16" t="str">
        <f>VLOOKUP(Sales_Raw!$E107,ProductsMasterTable[#All],2,FALSE)</f>
        <v>Cheese Slices</v>
      </c>
      <c r="Q107" s="16" t="str">
        <f>VLOOKUP(Sales_Raw!$E107,ProductsMasterTable[#All],3,FALSE)</f>
        <v>Dairy</v>
      </c>
      <c r="R107" s="16" t="str">
        <f>VLOOKUP(Sales_Raw!$E107,ProductsMasterTable[#All],4,FALSE)</f>
        <v>Cavin's</v>
      </c>
      <c r="S107" s="16">
        <f>VLOOKUP(Sales_Raw!$E107,ProductsMasterTable[#All],5,FALSE)</f>
        <v>409.19</v>
      </c>
      <c r="T107" s="16">
        <f>VLOOKUP(Sales_Raw!$E107,ProductsMasterTable[#All],6,FALSE)</f>
        <v>493.92</v>
      </c>
      <c r="U107" s="16" t="str">
        <f>VLOOKUP(Sales_Raw!$E107,ProductsMasterTable[#All],7,FALSE)</f>
        <v>Metro Supply Co</v>
      </c>
      <c r="V107" s="16" t="str">
        <f>IFERROR(VLOOKUP(Sales_Raw!$D107,CustomersMasterTable[#All],2,FALSE),"Guest")</f>
        <v>Karthik Shree</v>
      </c>
      <c r="W107" s="16" t="str">
        <f>IFERROR(VLOOKUP(Sales_Raw!$D107,CustomersMasterTable[#All],3,FALSE),"Guest")</f>
        <v>Female</v>
      </c>
      <c r="X107" s="16">
        <f>IFERROR(VLOOKUP(Sales_Raw!$D107,CustomersMasterTable[#All],4,FALSE),"Guest")</f>
        <v>53</v>
      </c>
      <c r="Y107" s="16" t="str">
        <f>IFERROR(VLOOKUP(Sales_Raw!$D107,CustomersMasterTable[#All],5,FALSE),"Guest")</f>
        <v>Coimbatore</v>
      </c>
      <c r="Z107" s="16" t="str">
        <f>IFERROR(VLOOKUP(Sales_Raw!$D107,CustomersMasterTable[#All],6,FALSE),"Guest")</f>
        <v>Gold</v>
      </c>
      <c r="AA107" s="18">
        <f>IFERROR(VLOOKUP(Sales_Raw!$D107,CustomersMasterTable[#All],7,FALSE),"Guest")</f>
        <v>46144</v>
      </c>
      <c r="AB107" s="23">
        <f>Master_Data[[#This Row],[Qty]]*Master_Data[[#This Row],[Unit_Price]]</f>
        <v>1363.9499999999998</v>
      </c>
      <c r="AC107" s="23">
        <f>Master_Data[[#This Row],[Gross_ Sales]]*(1-Master_Data[[#This Row],[Discount Percentage]])</f>
        <v>1363.9499999999998</v>
      </c>
      <c r="AD107" s="23">
        <f>Master_Data[[#This Row],[Net_Sales]]-(Master_Data[[#This Row],[Qty]]*Master_Data[[#This Row],[Cost_Price]])</f>
        <v>136.37999999999988</v>
      </c>
    </row>
    <row r="108" spans="1:30" ht="29.25">
      <c r="A108" s="8" t="s">
        <v>253</v>
      </c>
      <c r="B108" s="27">
        <f>DATEVALUE(Master_Data[[#This Row],[Sale_Date]])</f>
        <v>46239</v>
      </c>
      <c r="C108" s="8" t="s">
        <v>61</v>
      </c>
      <c r="D108" s="8" t="s">
        <v>254</v>
      </c>
      <c r="E108" s="8" t="str">
        <f>UPPER(TRIM(Sales_Raw!$F108))</f>
        <v>P1024</v>
      </c>
      <c r="F108" s="8" t="s">
        <v>207</v>
      </c>
      <c r="G108" s="8">
        <v>6</v>
      </c>
      <c r="H108" s="9">
        <v>154.72999999999999</v>
      </c>
      <c r="I108" s="10">
        <v>0</v>
      </c>
      <c r="J108" s="8" t="str">
        <f>UPPER(TRIM(Sales_Raw!$K108))</f>
        <v>CARD</v>
      </c>
      <c r="K108" s="8" t="s">
        <v>34</v>
      </c>
      <c r="L108" s="8" t="str">
        <f>PROPER(TRIM(Sales_Raw!$M108))</f>
        <v>Suramangalam</v>
      </c>
      <c r="M108" s="8" t="s">
        <v>40</v>
      </c>
      <c r="N108" s="7" t="s">
        <v>24</v>
      </c>
      <c r="O108" s="8" t="s">
        <v>80</v>
      </c>
      <c r="P108" s="11" t="str">
        <f>VLOOKUP(Sales_Raw!$E108,ProductsMasterTable[#All],2,FALSE)</f>
        <v>Toothpaste 150g</v>
      </c>
      <c r="Q108" s="11" t="str">
        <f>VLOOKUP(Sales_Raw!$E108,ProductsMasterTable[#All],3,FALSE)</f>
        <v>Personal Care</v>
      </c>
      <c r="R108" s="11" t="str">
        <f>VLOOKUP(Sales_Raw!$E108,ProductsMasterTable[#All],4,FALSE)</f>
        <v>Surf</v>
      </c>
      <c r="S108" s="11">
        <f>VLOOKUP(Sales_Raw!$E108,ProductsMasterTable[#All],5,FALSE)</f>
        <v>123.62</v>
      </c>
      <c r="T108" s="11">
        <f>VLOOKUP(Sales_Raw!$E108,ProductsMasterTable[#All],6,FALSE)</f>
        <v>155.08000000000001</v>
      </c>
      <c r="U108" s="11" t="str">
        <f>VLOOKUP(Sales_Raw!$E108,ProductsMasterTable[#All],7,FALSE)</f>
        <v>FreshLine Traders</v>
      </c>
      <c r="V108" s="11" t="str">
        <f>IFERROR(VLOOKUP(Sales_Raw!$D108,CustomersMasterTable[#All],2,FALSE),"Guest")</f>
        <v>Arun R</v>
      </c>
      <c r="W108" s="11" t="str">
        <f>IFERROR(VLOOKUP(Sales_Raw!$D108,CustomersMasterTable[#All],3,FALSE),"Guest")</f>
        <v>Male</v>
      </c>
      <c r="X108" s="11">
        <f>IFERROR(VLOOKUP(Sales_Raw!$D108,CustomersMasterTable[#All],4,FALSE),"Guest")</f>
        <v>32</v>
      </c>
      <c r="Y108" s="11" t="str">
        <f>IFERROR(VLOOKUP(Sales_Raw!$D108,CustomersMasterTable[#All],5,FALSE),"Guest")</f>
        <v>Salem</v>
      </c>
      <c r="Z108" s="11" t="str">
        <f>IFERROR(VLOOKUP(Sales_Raw!$D108,CustomersMasterTable[#All],6,FALSE),"Guest")</f>
        <v>Gold</v>
      </c>
      <c r="AA108" s="17">
        <f>IFERROR(VLOOKUP(Sales_Raw!$D108,CustomersMasterTable[#All],7,FALSE),"Guest")</f>
        <v>45996</v>
      </c>
      <c r="AB108" s="23">
        <f>Master_Data[[#This Row],[Qty]]*Master_Data[[#This Row],[Unit_Price]]</f>
        <v>928.37999999999988</v>
      </c>
      <c r="AC108" s="23">
        <f>Master_Data[[#This Row],[Gross_ Sales]]*(1-Master_Data[[#This Row],[Discount Percentage]])</f>
        <v>928.37999999999988</v>
      </c>
      <c r="AD108" s="23">
        <f>Master_Data[[#This Row],[Net_Sales]]-(Master_Data[[#This Row],[Qty]]*Master_Data[[#This Row],[Cost_Price]])</f>
        <v>186.65999999999985</v>
      </c>
    </row>
    <row r="109" spans="1:30" ht="15">
      <c r="A109" s="13" t="s">
        <v>255</v>
      </c>
      <c r="B109" s="28">
        <f>DATEVALUE(Master_Data[[#This Row],[Sale_Date]])</f>
        <v>46259</v>
      </c>
      <c r="C109" s="13" t="s">
        <v>98</v>
      </c>
      <c r="D109" s="13" t="s">
        <v>490</v>
      </c>
      <c r="E109" s="13" t="str">
        <f>UPPER(TRIM(Sales_Raw!$F109))</f>
        <v>P1015</v>
      </c>
      <c r="F109" s="13" t="s">
        <v>48</v>
      </c>
      <c r="G109" s="13">
        <v>3</v>
      </c>
      <c r="H109" s="14">
        <v>153.22</v>
      </c>
      <c r="I109" s="15">
        <v>0</v>
      </c>
      <c r="J109" s="13" t="str">
        <f>UPPER(TRIM(Sales_Raw!$K109))</f>
        <v>CARD</v>
      </c>
      <c r="K109" s="13" t="s">
        <v>34</v>
      </c>
      <c r="L109" s="13" t="str">
        <f>PROPER(TRIM(Sales_Raw!$M109))</f>
        <v>Hasthampatti</v>
      </c>
      <c r="M109" s="13" t="s">
        <v>23</v>
      </c>
      <c r="N109" s="12" t="s">
        <v>41</v>
      </c>
      <c r="O109" s="13" t="s">
        <v>30</v>
      </c>
      <c r="P109" s="16" t="str">
        <f>VLOOKUP(Sales_Raw!$E109,ProductsMasterTable[#All],2,FALSE)</f>
        <v>Biscuits Pack</v>
      </c>
      <c r="Q109" s="16" t="str">
        <f>VLOOKUP(Sales_Raw!$E109,ProductsMasterTable[#All],3,FALSE)</f>
        <v>Snacks</v>
      </c>
      <c r="R109" s="16" t="str">
        <f>VLOOKUP(Sales_Raw!$E109,ProductsMasterTable[#All],4,FALSE)</f>
        <v>HUL</v>
      </c>
      <c r="S109" s="16">
        <f>VLOOKUP(Sales_Raw!$E109,ProductsMasterTable[#All],5,FALSE)</f>
        <v>129.75</v>
      </c>
      <c r="T109" s="16">
        <f>VLOOKUP(Sales_Raw!$E109,ProductsMasterTable[#All],6,FALSE)</f>
        <v>164.29</v>
      </c>
      <c r="U109" s="16" t="str">
        <f>VLOOKUP(Sales_Raw!$E109,ProductsMasterTable[#All],7,FALSE)</f>
        <v>Kongu Distributors</v>
      </c>
      <c r="V109" s="16" t="str">
        <f>IFERROR(VLOOKUP(Sales_Raw!$D109,CustomersMasterTable[#All],2,FALSE),"Guest")</f>
        <v>Guest</v>
      </c>
      <c r="W109" s="16" t="str">
        <f>IFERROR(VLOOKUP(Sales_Raw!$D109,CustomersMasterTable[#All],3,FALSE),"Guest")</f>
        <v>Guest</v>
      </c>
      <c r="X109" s="16" t="str">
        <f>IFERROR(VLOOKUP(Sales_Raw!$D109,CustomersMasterTable[#All],4,FALSE),"Guest")</f>
        <v>Guest</v>
      </c>
      <c r="Y109" s="16" t="str">
        <f>IFERROR(VLOOKUP(Sales_Raw!$D109,CustomersMasterTable[#All],5,FALSE),"Guest")</f>
        <v>Guest</v>
      </c>
      <c r="Z109" s="16" t="str">
        <f>IFERROR(VLOOKUP(Sales_Raw!$D109,CustomersMasterTable[#All],6,FALSE),"Guest")</f>
        <v>Guest</v>
      </c>
      <c r="AA109" s="18" t="str">
        <f>IFERROR(VLOOKUP(Sales_Raw!$D109,CustomersMasterTable[#All],7,FALSE),"Guest")</f>
        <v>Guest</v>
      </c>
      <c r="AB109" s="23">
        <f>Master_Data[[#This Row],[Qty]]*Master_Data[[#This Row],[Unit_Price]]</f>
        <v>459.65999999999997</v>
      </c>
      <c r="AC109" s="23">
        <f>Master_Data[[#This Row],[Gross_ Sales]]*(1-Master_Data[[#This Row],[Discount Percentage]])</f>
        <v>459.65999999999997</v>
      </c>
      <c r="AD109" s="23">
        <f>Master_Data[[#This Row],[Net_Sales]]-(Master_Data[[#This Row],[Qty]]*Master_Data[[#This Row],[Cost_Price]])</f>
        <v>70.409999999999968</v>
      </c>
    </row>
    <row r="110" spans="1:30" ht="29.25">
      <c r="A110" s="8" t="s">
        <v>256</v>
      </c>
      <c r="B110" s="27">
        <f>DATEVALUE(Master_Data[[#This Row],[Sale_Date]])</f>
        <v>46240</v>
      </c>
      <c r="C110" s="8" t="s">
        <v>182</v>
      </c>
      <c r="D110" s="8" t="s">
        <v>257</v>
      </c>
      <c r="E110" s="8" t="str">
        <f>UPPER(TRIM(Sales_Raw!$F110))</f>
        <v>P1002</v>
      </c>
      <c r="F110" s="8" t="s">
        <v>232</v>
      </c>
      <c r="G110" s="8">
        <v>2</v>
      </c>
      <c r="H110" s="9">
        <v>129.55000000000001</v>
      </c>
      <c r="I110" s="10">
        <v>0.1</v>
      </c>
      <c r="J110" s="8" t="str">
        <f>UPPER(TRIM(Sales_Raw!$K110))</f>
        <v>UPI</v>
      </c>
      <c r="K110" s="8" t="s">
        <v>22</v>
      </c>
      <c r="L110" s="8" t="str">
        <f>PROPER(TRIM(Sales_Raw!$M110))</f>
        <v>Suramangalam</v>
      </c>
      <c r="M110" s="8" t="s">
        <v>40</v>
      </c>
      <c r="N110" s="7" t="s">
        <v>53</v>
      </c>
      <c r="O110" s="8" t="s">
        <v>54</v>
      </c>
      <c r="P110" s="11" t="str">
        <f>VLOOKUP(Sales_Raw!$E110,ProductsMasterTable[#All],2,FALSE)</f>
        <v>Wheat Flour 5kg</v>
      </c>
      <c r="Q110" s="11" t="str">
        <f>VLOOKUP(Sales_Raw!$E110,ProductsMasterTable[#All],3,FALSE)</f>
        <v>Staples</v>
      </c>
      <c r="R110" s="11" t="str">
        <f>VLOOKUP(Sales_Raw!$E110,ProductsMasterTable[#All],4,FALSE)</f>
        <v>Cavin's</v>
      </c>
      <c r="S110" s="11">
        <f>VLOOKUP(Sales_Raw!$E110,ProductsMasterTable[#All],5,FALSE)</f>
        <v>107.73</v>
      </c>
      <c r="T110" s="11">
        <f>VLOOKUP(Sales_Raw!$E110,ProductsMasterTable[#All],6,FALSE)</f>
        <v>138.91</v>
      </c>
      <c r="U110" s="11" t="str">
        <f>VLOOKUP(Sales_Raw!$E110,ProductsMasterTable[#All],7,FALSE)</f>
        <v>Salem Wholesale Mart</v>
      </c>
      <c r="V110" s="11" t="str">
        <f>IFERROR(VLOOKUP(Sales_Raw!$D110,CustomersMasterTable[#All],2,FALSE),"Guest")</f>
        <v>Divya Priyan</v>
      </c>
      <c r="W110" s="11" t="str">
        <f>IFERROR(VLOOKUP(Sales_Raw!$D110,CustomersMasterTable[#All],3,FALSE),"Guest")</f>
        <v>Female</v>
      </c>
      <c r="X110" s="11">
        <f>IFERROR(VLOOKUP(Sales_Raw!$D110,CustomersMasterTable[#All],4,FALSE),"Guest")</f>
        <v>21</v>
      </c>
      <c r="Y110" s="11" t="str">
        <f>IFERROR(VLOOKUP(Sales_Raw!$D110,CustomersMasterTable[#All],5,FALSE),"Guest")</f>
        <v>Dharmapuri</v>
      </c>
      <c r="Z110" s="11" t="str">
        <f>IFERROR(VLOOKUP(Sales_Raw!$D110,CustomersMasterTable[#All],6,FALSE),"Guest")</f>
        <v>Regular</v>
      </c>
      <c r="AA110" s="17">
        <f>IFERROR(VLOOKUP(Sales_Raw!$D110,CustomersMasterTable[#All],7,FALSE),"Guest")</f>
        <v>45782</v>
      </c>
      <c r="AB110" s="23">
        <f>Master_Data[[#This Row],[Qty]]*Master_Data[[#This Row],[Unit_Price]]</f>
        <v>259.10000000000002</v>
      </c>
      <c r="AC110" s="23">
        <f>Master_Data[[#This Row],[Gross_ Sales]]*(1-Master_Data[[#This Row],[Discount Percentage]])</f>
        <v>233.19000000000003</v>
      </c>
      <c r="AD110" s="23">
        <f>Master_Data[[#This Row],[Net_Sales]]-(Master_Data[[#This Row],[Qty]]*Master_Data[[#This Row],[Cost_Price]])</f>
        <v>17.730000000000018</v>
      </c>
    </row>
    <row r="111" spans="1:30" ht="15">
      <c r="A111" s="13" t="s">
        <v>258</v>
      </c>
      <c r="B111" s="28">
        <f>DATEVALUE(Master_Data[[#This Row],[Sale_Date]])</f>
        <v>46252</v>
      </c>
      <c r="C111" s="13" t="s">
        <v>197</v>
      </c>
      <c r="D111" s="13" t="s">
        <v>107</v>
      </c>
      <c r="E111" s="13" t="str">
        <f>UPPER(TRIM(Sales_Raw!$F111))</f>
        <v>P1022</v>
      </c>
      <c r="F111" s="13" t="s">
        <v>140</v>
      </c>
      <c r="G111" s="13">
        <v>4</v>
      </c>
      <c r="H111" s="14">
        <v>122.52</v>
      </c>
      <c r="I111" s="15">
        <v>0.05</v>
      </c>
      <c r="J111" s="13" t="str">
        <f>UPPER(TRIM(Sales_Raw!$K111))</f>
        <v>CASH</v>
      </c>
      <c r="K111" s="13" t="s">
        <v>14</v>
      </c>
      <c r="L111" s="13" t="str">
        <f>PROPER(TRIM(Sales_Raw!$M111))</f>
        <v>Hasthampatti</v>
      </c>
      <c r="M111" s="13" t="s">
        <v>23</v>
      </c>
      <c r="N111" s="12" t="s">
        <v>24</v>
      </c>
      <c r="O111" s="13" t="s">
        <v>80</v>
      </c>
      <c r="P111" s="16" t="str">
        <f>VLOOKUP(Sales_Raw!$E111,ProductsMasterTable[#All],2,FALSE)</f>
        <v>Bath Soap</v>
      </c>
      <c r="Q111" s="16" t="str">
        <f>VLOOKUP(Sales_Raw!$E111,ProductsMasterTable[#All],3,FALSE)</f>
        <v>Personal Care</v>
      </c>
      <c r="R111" s="16" t="str">
        <f>VLOOKUP(Sales_Raw!$E111,ProductsMasterTable[#All],4,FALSE)</f>
        <v>LocalFresh</v>
      </c>
      <c r="S111" s="16">
        <f>VLOOKUP(Sales_Raw!$E111,ProductsMasterTable[#All],5,FALSE)</f>
        <v>103.48</v>
      </c>
      <c r="T111" s="16">
        <f>VLOOKUP(Sales_Raw!$E111,ProductsMasterTable[#All],6,FALSE)</f>
        <v>127.78</v>
      </c>
      <c r="U111" s="16" t="str">
        <f>VLOOKUP(Sales_Raw!$E111,ProductsMasterTable[#All],7,FALSE)</f>
        <v>Kongu Distributors</v>
      </c>
      <c r="V111" s="16" t="str">
        <f>IFERROR(VLOOKUP(Sales_Raw!$D111,CustomersMasterTable[#All],2,FALSE),"Guest")</f>
        <v>Meena M</v>
      </c>
      <c r="W111" s="16" t="str">
        <f>IFERROR(VLOOKUP(Sales_Raw!$D111,CustomersMasterTable[#All],3,FALSE),"Guest")</f>
        <v>Female</v>
      </c>
      <c r="X111" s="16">
        <f>IFERROR(VLOOKUP(Sales_Raw!$D111,CustomersMasterTable[#All],4,FALSE),"Guest")</f>
        <v>36</v>
      </c>
      <c r="Y111" s="16" t="str">
        <f>IFERROR(VLOOKUP(Sales_Raw!$D111,CustomersMasterTable[#All],5,FALSE),"Guest")</f>
        <v>Erode</v>
      </c>
      <c r="Z111" s="16" t="str">
        <f>IFERROR(VLOOKUP(Sales_Raw!$D111,CustomersMasterTable[#All],6,FALSE),"Guest")</f>
        <v>Regular</v>
      </c>
      <c r="AA111" s="18">
        <f>IFERROR(VLOOKUP(Sales_Raw!$D111,CustomersMasterTable[#All],7,FALSE),"Guest")</f>
        <v>46214</v>
      </c>
      <c r="AB111" s="23">
        <f>Master_Data[[#This Row],[Qty]]*Master_Data[[#This Row],[Unit_Price]]</f>
        <v>490.08</v>
      </c>
      <c r="AC111" s="23">
        <f>Master_Data[[#This Row],[Gross_ Sales]]*(1-Master_Data[[#This Row],[Discount Percentage]])</f>
        <v>465.57599999999996</v>
      </c>
      <c r="AD111" s="23">
        <f>Master_Data[[#This Row],[Net_Sales]]-(Master_Data[[#This Row],[Qty]]*Master_Data[[#This Row],[Cost_Price]])</f>
        <v>51.655999999999949</v>
      </c>
    </row>
    <row r="112" spans="1:30" ht="29.25">
      <c r="A112" s="8" t="s">
        <v>259</v>
      </c>
      <c r="B112" s="27">
        <f>DATEVALUE(Master_Data[[#This Row],[Sale_Date]])</f>
        <v>46267</v>
      </c>
      <c r="C112" s="8" t="s">
        <v>86</v>
      </c>
      <c r="D112" s="8" t="s">
        <v>143</v>
      </c>
      <c r="E112" s="8" t="str">
        <f>UPPER(TRIM(Sales_Raw!$F112))</f>
        <v>P1012</v>
      </c>
      <c r="F112" s="8" t="s">
        <v>260</v>
      </c>
      <c r="G112" s="8">
        <v>4</v>
      </c>
      <c r="H112" s="9">
        <v>412.03</v>
      </c>
      <c r="I112" s="10">
        <v>0.15</v>
      </c>
      <c r="J112" s="8" t="str">
        <f>UPPER(TRIM(Sales_Raw!$K112))</f>
        <v>CARD</v>
      </c>
      <c r="K112" s="8" t="s">
        <v>34</v>
      </c>
      <c r="L112" s="8" t="str">
        <f>PROPER(TRIM(Sales_Raw!$M112))</f>
        <v>Suramangalam</v>
      </c>
      <c r="M112" s="8" t="s">
        <v>40</v>
      </c>
      <c r="N112" s="7" t="s">
        <v>35</v>
      </c>
      <c r="O112" s="8" t="s">
        <v>30</v>
      </c>
      <c r="P112" s="11" t="str">
        <f>VLOOKUP(Sales_Raw!$E112,ProductsMasterTable[#All],2,FALSE)</f>
        <v>Potato Chips</v>
      </c>
      <c r="Q112" s="11" t="str">
        <f>VLOOKUP(Sales_Raw!$E112,ProductsMasterTable[#All],3,FALSE)</f>
        <v>Snacks</v>
      </c>
      <c r="R112" s="11" t="str">
        <f>VLOOKUP(Sales_Raw!$E112,ProductsMasterTable[#All],4,FALSE)</f>
        <v>HUL</v>
      </c>
      <c r="S112" s="11">
        <f>VLOOKUP(Sales_Raw!$E112,ProductsMasterTable[#All],5,FALSE)</f>
        <v>351.42</v>
      </c>
      <c r="T112" s="11">
        <f>VLOOKUP(Sales_Raw!$E112,ProductsMasterTable[#All],6,FALSE)</f>
        <v>443.58</v>
      </c>
      <c r="U112" s="11" t="str">
        <f>VLOOKUP(Sales_Raw!$E112,ProductsMasterTable[#All],7,FALSE)</f>
        <v>Sri Ganesh Agencies</v>
      </c>
      <c r="V112" s="11" t="str">
        <f>IFERROR(VLOOKUP(Sales_Raw!$D112,CustomersMasterTable[#All],2,FALSE),"Guest")</f>
        <v>Anitha Selvam</v>
      </c>
      <c r="W112" s="11" t="str">
        <f>IFERROR(VLOOKUP(Sales_Raw!$D112,CustomersMasterTable[#All],3,FALSE),"Guest")</f>
        <v>Female</v>
      </c>
      <c r="X112" s="11">
        <f>IFERROR(VLOOKUP(Sales_Raw!$D112,CustomersMasterTable[#All],4,FALSE),"Guest")</f>
        <v>46</v>
      </c>
      <c r="Y112" s="11" t="str">
        <f>IFERROR(VLOOKUP(Sales_Raw!$D112,CustomersMasterTable[#All],5,FALSE),"Guest")</f>
        <v>Dharmapuri</v>
      </c>
      <c r="Z112" s="11" t="str">
        <f>IFERROR(VLOOKUP(Sales_Raw!$D112,CustomersMasterTable[#All],6,FALSE),"Guest")</f>
        <v>Regular</v>
      </c>
      <c r="AA112" s="17">
        <f>IFERROR(VLOOKUP(Sales_Raw!$D112,CustomersMasterTable[#All],7,FALSE),"Guest")</f>
        <v>45911</v>
      </c>
      <c r="AB112" s="23">
        <f>Master_Data[[#This Row],[Qty]]*Master_Data[[#This Row],[Unit_Price]]</f>
        <v>1648.12</v>
      </c>
      <c r="AC112" s="23">
        <f>Master_Data[[#This Row],[Gross_ Sales]]*(1-Master_Data[[#This Row],[Discount Percentage]])</f>
        <v>1400.9019999999998</v>
      </c>
      <c r="AD112" s="23">
        <f>Master_Data[[#This Row],[Net_Sales]]-(Master_Data[[#This Row],[Qty]]*Master_Data[[#This Row],[Cost_Price]])</f>
        <v>-4.7780000000002474</v>
      </c>
    </row>
    <row r="113" spans="1:30" ht="15">
      <c r="A113" s="13" t="s">
        <v>261</v>
      </c>
      <c r="B113" s="28">
        <f>DATEVALUE(Master_Data[[#This Row],[Sale_Date]])</f>
        <v>46268</v>
      </c>
      <c r="C113" s="13" t="s">
        <v>118</v>
      </c>
      <c r="D113" s="13" t="s">
        <v>51</v>
      </c>
      <c r="E113" s="13" t="str">
        <f>UPPER(TRIM(Sales_Raw!$F113))</f>
        <v>P1010</v>
      </c>
      <c r="F113" s="13" t="s">
        <v>39</v>
      </c>
      <c r="G113" s="13">
        <v>1</v>
      </c>
      <c r="H113" s="14">
        <v>413.55</v>
      </c>
      <c r="I113" s="15">
        <v>0.1</v>
      </c>
      <c r="J113" s="13" t="str">
        <f>UPPER(TRIM(Sales_Raw!$K113))</f>
        <v>UPI</v>
      </c>
      <c r="K113" s="13" t="s">
        <v>22</v>
      </c>
      <c r="L113" s="13" t="str">
        <f>PROPER(TRIM(Sales_Raw!$M113))</f>
        <v>Fairlands</v>
      </c>
      <c r="M113" s="13" t="s">
        <v>15</v>
      </c>
      <c r="N113" s="12" t="s">
        <v>24</v>
      </c>
      <c r="O113" s="13" t="s">
        <v>17</v>
      </c>
      <c r="P113" s="16" t="str">
        <f>VLOOKUP(Sales_Raw!$E113,ProductsMasterTable[#All],2,FALSE)</f>
        <v>Butter 100g</v>
      </c>
      <c r="Q113" s="16" t="str">
        <f>VLOOKUP(Sales_Raw!$E113,ProductsMasterTable[#All],3,FALSE)</f>
        <v>Dairy</v>
      </c>
      <c r="R113" s="16" t="str">
        <f>VLOOKUP(Sales_Raw!$E113,ProductsMasterTable[#All],4,FALSE)</f>
        <v>Cavin's</v>
      </c>
      <c r="S113" s="16">
        <f>VLOOKUP(Sales_Raw!$E113,ProductsMasterTable[#All],5,FALSE)</f>
        <v>342.47</v>
      </c>
      <c r="T113" s="16">
        <f>VLOOKUP(Sales_Raw!$E113,ProductsMasterTable[#All],6,FALSE)</f>
        <v>441.05</v>
      </c>
      <c r="U113" s="16" t="str">
        <f>VLOOKUP(Sales_Raw!$E113,ProductsMasterTable[#All],7,FALSE)</f>
        <v>Salem Wholesale Mart</v>
      </c>
      <c r="V113" s="16" t="str">
        <f>IFERROR(VLOOKUP(Sales_Raw!$D113,CustomersMasterTable[#All],2,FALSE),"Guest")</f>
        <v>Harish Raj</v>
      </c>
      <c r="W113" s="16" t="str">
        <f>IFERROR(VLOOKUP(Sales_Raw!$D113,CustomersMasterTable[#All],3,FALSE),"Guest")</f>
        <v>Male</v>
      </c>
      <c r="X113" s="16">
        <f>IFERROR(VLOOKUP(Sales_Raw!$D113,CustomersMasterTable[#All],4,FALSE),"Guest")</f>
        <v>67</v>
      </c>
      <c r="Y113" s="16" t="str">
        <f>IFERROR(VLOOKUP(Sales_Raw!$D113,CustomersMasterTable[#All],5,FALSE),"Guest")</f>
        <v>Namakkal</v>
      </c>
      <c r="Z113" s="16" t="str">
        <f>IFERROR(VLOOKUP(Sales_Raw!$D113,CustomersMasterTable[#All],6,FALSE),"Guest")</f>
        <v>Regular</v>
      </c>
      <c r="AA113" s="18">
        <f>IFERROR(VLOOKUP(Sales_Raw!$D113,CustomersMasterTable[#All],7,FALSE),"Guest")</f>
        <v>46179</v>
      </c>
      <c r="AB113" s="23">
        <f>Master_Data[[#This Row],[Qty]]*Master_Data[[#This Row],[Unit_Price]]</f>
        <v>413.55</v>
      </c>
      <c r="AC113" s="23">
        <f>Master_Data[[#This Row],[Gross_ Sales]]*(1-Master_Data[[#This Row],[Discount Percentage]])</f>
        <v>372.19499999999999</v>
      </c>
      <c r="AD113" s="23">
        <f>Master_Data[[#This Row],[Net_Sales]]-(Master_Data[[#This Row],[Qty]]*Master_Data[[#This Row],[Cost_Price]])</f>
        <v>29.724999999999966</v>
      </c>
    </row>
    <row r="114" spans="1:30" ht="15">
      <c r="A114" s="8" t="s">
        <v>262</v>
      </c>
      <c r="B114" s="27">
        <f>DATEVALUE(Master_Data[[#This Row],[Sale_Date]])</f>
        <v>46254</v>
      </c>
      <c r="C114" s="8" t="s">
        <v>120</v>
      </c>
      <c r="D114" s="8" t="s">
        <v>224</v>
      </c>
      <c r="E114" s="8" t="str">
        <f>UPPER(TRIM(Sales_Raw!$F114))</f>
        <v>P1025</v>
      </c>
      <c r="F114" s="8" t="s">
        <v>154</v>
      </c>
      <c r="G114" s="8">
        <v>2</v>
      </c>
      <c r="H114" s="9">
        <v>216.49</v>
      </c>
      <c r="I114" s="10">
        <v>0</v>
      </c>
      <c r="J114" s="8" t="str">
        <f>UPPER(TRIM(Sales_Raw!$K114))</f>
        <v>CASH</v>
      </c>
      <c r="K114" s="8" t="s">
        <v>14</v>
      </c>
      <c r="L114" s="8" t="str">
        <f>PROPER(TRIM(Sales_Raw!$M114))</f>
        <v>Fairlands</v>
      </c>
      <c r="M114" s="8" t="s">
        <v>15</v>
      </c>
      <c r="N114" s="7" t="s">
        <v>53</v>
      </c>
      <c r="O114" s="8" t="s">
        <v>80</v>
      </c>
      <c r="P114" s="11" t="str">
        <f>VLOOKUP(Sales_Raw!$E114,ProductsMasterTable[#All],2,FALSE)</f>
        <v>Handwash 250ml</v>
      </c>
      <c r="Q114" s="11" t="str">
        <f>VLOOKUP(Sales_Raw!$E114,ProductsMasterTable[#All],3,FALSE)</f>
        <v>Personal Care</v>
      </c>
      <c r="R114" s="11" t="str">
        <f>VLOOKUP(Sales_Raw!$E114,ProductsMasterTable[#All],4,FALSE)</f>
        <v>Britannia</v>
      </c>
      <c r="S114" s="11">
        <f>VLOOKUP(Sales_Raw!$E114,ProductsMasterTable[#All],5,FALSE)</f>
        <v>163.52000000000001</v>
      </c>
      <c r="T114" s="11">
        <f>VLOOKUP(Sales_Raw!$E114,ProductsMasterTable[#All],6,FALSE)</f>
        <v>220.65</v>
      </c>
      <c r="U114" s="11" t="str">
        <f>VLOOKUP(Sales_Raw!$E114,ProductsMasterTable[#All],7,FALSE)</f>
        <v>Sri Ganesh Agencies</v>
      </c>
      <c r="V114" s="11" t="str">
        <f>IFERROR(VLOOKUP(Sales_Raw!$D114,CustomersMasterTable[#All],2,FALSE),"Guest")</f>
        <v>Priya Kumar</v>
      </c>
      <c r="W114" s="11" t="str">
        <f>IFERROR(VLOOKUP(Sales_Raw!$D114,CustomersMasterTable[#All],3,FALSE),"Guest")</f>
        <v>Female</v>
      </c>
      <c r="X114" s="11">
        <f>IFERROR(VLOOKUP(Sales_Raw!$D114,CustomersMasterTable[#All],4,FALSE),"Guest")</f>
        <v>64</v>
      </c>
      <c r="Y114" s="11" t="str">
        <f>IFERROR(VLOOKUP(Sales_Raw!$D114,CustomersMasterTable[#All],5,FALSE),"Guest")</f>
        <v>Namakkal</v>
      </c>
      <c r="Z114" s="11" t="str">
        <f>IFERROR(VLOOKUP(Sales_Raw!$D114,CustomersMasterTable[#All],6,FALSE),"Guest")</f>
        <v>Silver</v>
      </c>
      <c r="AA114" s="17">
        <f>IFERROR(VLOOKUP(Sales_Raw!$D114,CustomersMasterTable[#All],7,FALSE),"Guest")</f>
        <v>45769</v>
      </c>
      <c r="AB114" s="23">
        <f>Master_Data[[#This Row],[Qty]]*Master_Data[[#This Row],[Unit_Price]]</f>
        <v>432.98</v>
      </c>
      <c r="AC114" s="23">
        <f>Master_Data[[#This Row],[Gross_ Sales]]*(1-Master_Data[[#This Row],[Discount Percentage]])</f>
        <v>432.98</v>
      </c>
      <c r="AD114" s="23">
        <f>Master_Data[[#This Row],[Net_Sales]]-(Master_Data[[#This Row],[Qty]]*Master_Data[[#This Row],[Cost_Price]])</f>
        <v>105.94</v>
      </c>
    </row>
    <row r="115" spans="1:30" ht="15">
      <c r="A115" s="13" t="s">
        <v>263</v>
      </c>
      <c r="B115" s="28">
        <f>DATEVALUE(Master_Data[[#This Row],[Sale_Date]])</f>
        <v>46266</v>
      </c>
      <c r="C115" s="13" t="s">
        <v>11</v>
      </c>
      <c r="D115" s="13" t="s">
        <v>264</v>
      </c>
      <c r="E115" s="13" t="str">
        <f>UPPER(TRIM(Sales_Raw!$F115))</f>
        <v>P1014</v>
      </c>
      <c r="F115" s="13" t="s">
        <v>29</v>
      </c>
      <c r="G115" s="13">
        <v>2</v>
      </c>
      <c r="H115" s="14">
        <v>507.22</v>
      </c>
      <c r="I115" s="15">
        <v>0.1</v>
      </c>
      <c r="J115" s="13" t="str">
        <f>UPPER(TRIM(Sales_Raw!$K115))</f>
        <v>CARD</v>
      </c>
      <c r="K115" s="13" t="s">
        <v>34</v>
      </c>
      <c r="L115" s="13" t="str">
        <f>PROPER(TRIM(Sales_Raw!$M115))</f>
        <v>Fairlands</v>
      </c>
      <c r="M115" s="13" t="s">
        <v>15</v>
      </c>
      <c r="N115" s="12" t="s">
        <v>41</v>
      </c>
      <c r="O115" s="13" t="s">
        <v>30</v>
      </c>
      <c r="P115" s="16" t="str">
        <f>VLOOKUP(Sales_Raw!$E115,ProductsMasterTable[#All],2,FALSE)</f>
        <v>Mixture 250g</v>
      </c>
      <c r="Q115" s="16" t="str">
        <f>VLOOKUP(Sales_Raw!$E115,ProductsMasterTable[#All],3,FALSE)</f>
        <v>Snacks</v>
      </c>
      <c r="R115" s="16" t="str">
        <f>VLOOKUP(Sales_Raw!$E115,ProductsMasterTable[#All],4,FALSE)</f>
        <v>Aavin</v>
      </c>
      <c r="S115" s="16">
        <f>VLOOKUP(Sales_Raw!$E115,ProductsMasterTable[#All],5,FALSE)</f>
        <v>414.06</v>
      </c>
      <c r="T115" s="16">
        <f>VLOOKUP(Sales_Raw!$E115,ProductsMasterTable[#All],6,FALSE)</f>
        <v>545.20000000000005</v>
      </c>
      <c r="U115" s="16" t="str">
        <f>VLOOKUP(Sales_Raw!$E115,ProductsMasterTable[#All],7,FALSE)</f>
        <v>FreshLine Traders</v>
      </c>
      <c r="V115" s="16" t="str">
        <f>IFERROR(VLOOKUP(Sales_Raw!$D115,CustomersMasterTable[#All],2,FALSE),"Guest")</f>
        <v>Janani Devi</v>
      </c>
      <c r="W115" s="16" t="str">
        <f>IFERROR(VLOOKUP(Sales_Raw!$D115,CustomersMasterTable[#All],3,FALSE),"Guest")</f>
        <v>Male</v>
      </c>
      <c r="X115" s="16">
        <f>IFERROR(VLOOKUP(Sales_Raw!$D115,CustomersMasterTable[#All],4,FALSE),"Guest")</f>
        <v>64</v>
      </c>
      <c r="Y115" s="16" t="str">
        <f>IFERROR(VLOOKUP(Sales_Raw!$D115,CustomersMasterTable[#All],5,FALSE),"Guest")</f>
        <v>Namakkal</v>
      </c>
      <c r="Z115" s="16" t="str">
        <f>IFERROR(VLOOKUP(Sales_Raw!$D115,CustomersMasterTable[#All],6,FALSE),"Guest")</f>
        <v>Regular</v>
      </c>
      <c r="AA115" s="18">
        <f>IFERROR(VLOOKUP(Sales_Raw!$D115,CustomersMasterTable[#All],7,FALSE),"Guest")</f>
        <v>46076</v>
      </c>
      <c r="AB115" s="23">
        <f>Master_Data[[#This Row],[Qty]]*Master_Data[[#This Row],[Unit_Price]]</f>
        <v>1014.44</v>
      </c>
      <c r="AC115" s="23">
        <f>Master_Data[[#This Row],[Gross_ Sales]]*(1-Master_Data[[#This Row],[Discount Percentage]])</f>
        <v>912.99600000000009</v>
      </c>
      <c r="AD115" s="23">
        <f>Master_Data[[#This Row],[Net_Sales]]-(Master_Data[[#This Row],[Qty]]*Master_Data[[#This Row],[Cost_Price]])</f>
        <v>84.87600000000009</v>
      </c>
    </row>
    <row r="116" spans="1:30" ht="15">
      <c r="A116" s="8" t="s">
        <v>265</v>
      </c>
      <c r="B116" s="27">
        <f>DATEVALUE(Master_Data[[#This Row],[Sale_Date]])</f>
        <v>46270</v>
      </c>
      <c r="C116" s="8" t="s">
        <v>161</v>
      </c>
      <c r="D116" s="8" t="s">
        <v>47</v>
      </c>
      <c r="E116" s="8" t="str">
        <f>UPPER(TRIM(Sales_Raw!$F116))</f>
        <v>P1022</v>
      </c>
      <c r="F116" s="8" t="s">
        <v>140</v>
      </c>
      <c r="G116" s="8">
        <v>3</v>
      </c>
      <c r="H116" s="9">
        <v>118.29</v>
      </c>
      <c r="I116" s="10">
        <v>0.15</v>
      </c>
      <c r="J116" s="8" t="str">
        <f>UPPER(TRIM(Sales_Raw!$K116))</f>
        <v>UPI</v>
      </c>
      <c r="K116" s="8" t="s">
        <v>22</v>
      </c>
      <c r="L116" s="8" t="str">
        <f>PROPER(TRIM(Sales_Raw!$M116))</f>
        <v>Hasthampatti</v>
      </c>
      <c r="M116" s="8" t="s">
        <v>23</v>
      </c>
      <c r="N116" s="7" t="s">
        <v>53</v>
      </c>
      <c r="O116" s="8" t="s">
        <v>80</v>
      </c>
      <c r="P116" s="11" t="str">
        <f>VLOOKUP(Sales_Raw!$E116,ProductsMasterTable[#All],2,FALSE)</f>
        <v>Bath Soap</v>
      </c>
      <c r="Q116" s="11" t="str">
        <f>VLOOKUP(Sales_Raw!$E116,ProductsMasterTable[#All],3,FALSE)</f>
        <v>Personal Care</v>
      </c>
      <c r="R116" s="11" t="str">
        <f>VLOOKUP(Sales_Raw!$E116,ProductsMasterTable[#All],4,FALSE)</f>
        <v>LocalFresh</v>
      </c>
      <c r="S116" s="11">
        <f>VLOOKUP(Sales_Raw!$E116,ProductsMasterTable[#All],5,FALSE)</f>
        <v>103.48</v>
      </c>
      <c r="T116" s="11">
        <f>VLOOKUP(Sales_Raw!$E116,ProductsMasterTable[#All],6,FALSE)</f>
        <v>127.78</v>
      </c>
      <c r="U116" s="11" t="str">
        <f>VLOOKUP(Sales_Raw!$E116,ProductsMasterTable[#All],7,FALSE)</f>
        <v>Kongu Distributors</v>
      </c>
      <c r="V116" s="11" t="str">
        <f>IFERROR(VLOOKUP(Sales_Raw!$D116,CustomersMasterTable[#All],2,FALSE),"Guest")</f>
        <v>Naveen S</v>
      </c>
      <c r="W116" s="11" t="str">
        <f>IFERROR(VLOOKUP(Sales_Raw!$D116,CustomersMasterTable[#All],3,FALSE),"Guest")</f>
        <v>Male</v>
      </c>
      <c r="X116" s="11">
        <f>IFERROR(VLOOKUP(Sales_Raw!$D116,CustomersMasterTable[#All],4,FALSE),"Guest")</f>
        <v>20</v>
      </c>
      <c r="Y116" s="11" t="str">
        <f>IFERROR(VLOOKUP(Sales_Raw!$D116,CustomersMasterTable[#All],5,FALSE),"Guest")</f>
        <v>Erode</v>
      </c>
      <c r="Z116" s="11" t="str">
        <f>IFERROR(VLOOKUP(Sales_Raw!$D116,CustomersMasterTable[#All],6,FALSE),"Guest")</f>
        <v>Gold</v>
      </c>
      <c r="AA116" s="17">
        <f>IFERROR(VLOOKUP(Sales_Raw!$D116,CustomersMasterTable[#All],7,FALSE),"Guest")</f>
        <v>45732</v>
      </c>
      <c r="AB116" s="23">
        <f>Master_Data[[#This Row],[Qty]]*Master_Data[[#This Row],[Unit_Price]]</f>
        <v>354.87</v>
      </c>
      <c r="AC116" s="23">
        <f>Master_Data[[#This Row],[Gross_ Sales]]*(1-Master_Data[[#This Row],[Discount Percentage]])</f>
        <v>301.6395</v>
      </c>
      <c r="AD116" s="23">
        <f>Master_Data[[#This Row],[Net_Sales]]-(Master_Data[[#This Row],[Qty]]*Master_Data[[#This Row],[Cost_Price]])</f>
        <v>-8.8004999999999995</v>
      </c>
    </row>
    <row r="117" spans="1:30" ht="29.25">
      <c r="A117" s="13" t="s">
        <v>266</v>
      </c>
      <c r="B117" s="28">
        <f>DATEVALUE(Master_Data[[#This Row],[Sale_Date]])</f>
        <v>46264</v>
      </c>
      <c r="C117" s="13" t="s">
        <v>139</v>
      </c>
      <c r="D117" s="13" t="s">
        <v>209</v>
      </c>
      <c r="E117" s="13" t="str">
        <f>UPPER(TRIM(Sales_Raw!$F117))</f>
        <v>P1003</v>
      </c>
      <c r="F117" s="13" t="s">
        <v>59</v>
      </c>
      <c r="G117" s="13">
        <v>3</v>
      </c>
      <c r="H117" s="14">
        <v>278.12</v>
      </c>
      <c r="I117" s="15">
        <v>0.1</v>
      </c>
      <c r="J117" s="13" t="str">
        <f>UPPER(TRIM(Sales_Raw!$K117))</f>
        <v>CASH</v>
      </c>
      <c r="K117" s="13" t="s">
        <v>14</v>
      </c>
      <c r="L117" s="13" t="str">
        <f>PROPER(TRIM(Sales_Raw!$M117))</f>
        <v>Suramangalam</v>
      </c>
      <c r="M117" s="13" t="s">
        <v>40</v>
      </c>
      <c r="N117" s="12" t="s">
        <v>35</v>
      </c>
      <c r="O117" s="13" t="s">
        <v>54</v>
      </c>
      <c r="P117" s="16" t="str">
        <f>VLOOKUP(Sales_Raw!$E117,ProductsMasterTable[#All],2,FALSE)</f>
        <v>Toor Dal 1kg</v>
      </c>
      <c r="Q117" s="16" t="str">
        <f>VLOOKUP(Sales_Raw!$E117,ProductsMasterTable[#All],3,FALSE)</f>
        <v>Staples</v>
      </c>
      <c r="R117" s="16" t="str">
        <f>VLOOKUP(Sales_Raw!$E117,ProductsMasterTable[#All],4,FALSE)</f>
        <v>Aavin</v>
      </c>
      <c r="S117" s="16">
        <f>VLOOKUP(Sales_Raw!$E117,ProductsMasterTable[#All],5,FALSE)</f>
        <v>255.38</v>
      </c>
      <c r="T117" s="16">
        <f>VLOOKUP(Sales_Raw!$E117,ProductsMasterTable[#All],6,FALSE)</f>
        <v>287.89</v>
      </c>
      <c r="U117" s="16" t="str">
        <f>VLOOKUP(Sales_Raw!$E117,ProductsMasterTable[#All],7,FALSE)</f>
        <v>Kongu Distributors</v>
      </c>
      <c r="V117" s="16" t="str">
        <f>IFERROR(VLOOKUP(Sales_Raw!$D117,CustomersMasterTable[#All],2,FALSE),"Guest")</f>
        <v>Karthik Shree</v>
      </c>
      <c r="W117" s="16" t="str">
        <f>IFERROR(VLOOKUP(Sales_Raw!$D117,CustomersMasterTable[#All],3,FALSE),"Guest")</f>
        <v>Female</v>
      </c>
      <c r="X117" s="16">
        <f>IFERROR(VLOOKUP(Sales_Raw!$D117,CustomersMasterTable[#All],4,FALSE),"Guest")</f>
        <v>53</v>
      </c>
      <c r="Y117" s="16" t="str">
        <f>IFERROR(VLOOKUP(Sales_Raw!$D117,CustomersMasterTable[#All],5,FALSE),"Guest")</f>
        <v>Coimbatore</v>
      </c>
      <c r="Z117" s="16" t="str">
        <f>IFERROR(VLOOKUP(Sales_Raw!$D117,CustomersMasterTable[#All],6,FALSE),"Guest")</f>
        <v>Gold</v>
      </c>
      <c r="AA117" s="18">
        <f>IFERROR(VLOOKUP(Sales_Raw!$D117,CustomersMasterTable[#All],7,FALSE),"Guest")</f>
        <v>46144</v>
      </c>
      <c r="AB117" s="23">
        <f>Master_Data[[#This Row],[Qty]]*Master_Data[[#This Row],[Unit_Price]]</f>
        <v>834.36</v>
      </c>
      <c r="AC117" s="23">
        <f>Master_Data[[#This Row],[Gross_ Sales]]*(1-Master_Data[[#This Row],[Discount Percentage]])</f>
        <v>750.92399999999998</v>
      </c>
      <c r="AD117" s="23">
        <f>Master_Data[[#This Row],[Net_Sales]]-(Master_Data[[#This Row],[Qty]]*Master_Data[[#This Row],[Cost_Price]])</f>
        <v>-15.216000000000008</v>
      </c>
    </row>
    <row r="118" spans="1:30" ht="15">
      <c r="A118" s="8" t="s">
        <v>267</v>
      </c>
      <c r="B118" s="27">
        <f>DATEVALUE(Master_Data[[#This Row],[Sale_Date]])</f>
        <v>46253</v>
      </c>
      <c r="C118" s="8" t="s">
        <v>199</v>
      </c>
      <c r="D118" s="8" t="s">
        <v>143</v>
      </c>
      <c r="E118" s="8" t="str">
        <f>UPPER(TRIM(Sales_Raw!$F118))</f>
        <v>P1013</v>
      </c>
      <c r="F118" s="8" t="s">
        <v>176</v>
      </c>
      <c r="G118" s="8">
        <v>1</v>
      </c>
      <c r="H118" s="9">
        <v>107.97</v>
      </c>
      <c r="I118" s="10">
        <v>0</v>
      </c>
      <c r="J118" s="8" t="str">
        <f>UPPER(TRIM(Sales_Raw!$K118))</f>
        <v>CARD</v>
      </c>
      <c r="K118" s="8" t="s">
        <v>34</v>
      </c>
      <c r="L118" s="8" t="str">
        <f>PROPER(TRIM(Sales_Raw!$M118))</f>
        <v>Hasthampatti</v>
      </c>
      <c r="M118" s="8" t="s">
        <v>23</v>
      </c>
      <c r="N118" s="7" t="s">
        <v>16</v>
      </c>
      <c r="O118" s="8" t="s">
        <v>30</v>
      </c>
      <c r="P118" s="11" t="str">
        <f>VLOOKUP(Sales_Raw!$E118,ProductsMasterTable[#All],2,FALSE)</f>
        <v>Banana Chips</v>
      </c>
      <c r="Q118" s="11" t="str">
        <f>VLOOKUP(Sales_Raw!$E118,ProductsMasterTable[#All],3,FALSE)</f>
        <v>Snacks</v>
      </c>
      <c r="R118" s="11" t="str">
        <f>VLOOKUP(Sales_Raw!$E118,ProductsMasterTable[#All],4,FALSE)</f>
        <v>Tata</v>
      </c>
      <c r="S118" s="11">
        <f>VLOOKUP(Sales_Raw!$E118,ProductsMasterTable[#All],5,FALSE)</f>
        <v>95.3</v>
      </c>
      <c r="T118" s="11">
        <f>VLOOKUP(Sales_Raw!$E118,ProductsMasterTable[#All],6,FALSE)</f>
        <v>108.26</v>
      </c>
      <c r="U118" s="11" t="str">
        <f>VLOOKUP(Sales_Raw!$E118,ProductsMasterTable[#All],7,FALSE)</f>
        <v>Metro Supply Co</v>
      </c>
      <c r="V118" s="11" t="str">
        <f>IFERROR(VLOOKUP(Sales_Raw!$D118,CustomersMasterTable[#All],2,FALSE),"Guest")</f>
        <v>Anitha Selvam</v>
      </c>
      <c r="W118" s="11" t="str">
        <f>IFERROR(VLOOKUP(Sales_Raw!$D118,CustomersMasterTable[#All],3,FALSE),"Guest")</f>
        <v>Female</v>
      </c>
      <c r="X118" s="11">
        <f>IFERROR(VLOOKUP(Sales_Raw!$D118,CustomersMasterTable[#All],4,FALSE),"Guest")</f>
        <v>46</v>
      </c>
      <c r="Y118" s="11" t="str">
        <f>IFERROR(VLOOKUP(Sales_Raw!$D118,CustomersMasterTable[#All],5,FALSE),"Guest")</f>
        <v>Dharmapuri</v>
      </c>
      <c r="Z118" s="11" t="str">
        <f>IFERROR(VLOOKUP(Sales_Raw!$D118,CustomersMasterTable[#All],6,FALSE),"Guest")</f>
        <v>Regular</v>
      </c>
      <c r="AA118" s="17">
        <f>IFERROR(VLOOKUP(Sales_Raw!$D118,CustomersMasterTable[#All],7,FALSE),"Guest")</f>
        <v>45911</v>
      </c>
      <c r="AB118" s="23">
        <f>Master_Data[[#This Row],[Qty]]*Master_Data[[#This Row],[Unit_Price]]</f>
        <v>107.97</v>
      </c>
      <c r="AC118" s="23">
        <f>Master_Data[[#This Row],[Gross_ Sales]]*(1-Master_Data[[#This Row],[Discount Percentage]])</f>
        <v>107.97</v>
      </c>
      <c r="AD118" s="23">
        <f>Master_Data[[#This Row],[Net_Sales]]-(Master_Data[[#This Row],[Qty]]*Master_Data[[#This Row],[Cost_Price]])</f>
        <v>12.670000000000002</v>
      </c>
    </row>
    <row r="119" spans="1:30" ht="29.25">
      <c r="A119" s="13" t="s">
        <v>268</v>
      </c>
      <c r="B119" s="28">
        <f>DATEVALUE(Master_Data[[#This Row],[Sale_Date]])</f>
        <v>46240</v>
      </c>
      <c r="C119" s="13" t="s">
        <v>182</v>
      </c>
      <c r="D119" s="13" t="s">
        <v>242</v>
      </c>
      <c r="E119" s="13" t="str">
        <f>UPPER(TRIM(Sales_Raw!$F119))</f>
        <v>P1028</v>
      </c>
      <c r="F119" s="13" t="s">
        <v>124</v>
      </c>
      <c r="G119" s="13">
        <v>1</v>
      </c>
      <c r="H119" s="14">
        <v>49.41</v>
      </c>
      <c r="I119" s="15">
        <v>0.1</v>
      </c>
      <c r="J119" s="13" t="str">
        <f>UPPER(TRIM(Sales_Raw!$K119))</f>
        <v>CASH</v>
      </c>
      <c r="K119" s="13" t="s">
        <v>14</v>
      </c>
      <c r="L119" s="13" t="str">
        <f>PROPER(TRIM(Sales_Raw!$M119))</f>
        <v>Suramangalam</v>
      </c>
      <c r="M119" s="13" t="s">
        <v>40</v>
      </c>
      <c r="N119" s="12" t="s">
        <v>53</v>
      </c>
      <c r="O119" s="13" t="s">
        <v>25</v>
      </c>
      <c r="P119" s="16" t="str">
        <f>VLOOKUP(Sales_Raw!$E119,ProductsMasterTable[#All],2,FALSE)</f>
        <v>Floor Cleaner 1L</v>
      </c>
      <c r="Q119" s="16" t="str">
        <f>VLOOKUP(Sales_Raw!$E119,ProductsMasterTable[#All],3,FALSE)</f>
        <v>Household</v>
      </c>
      <c r="R119" s="16" t="str">
        <f>VLOOKUP(Sales_Raw!$E119,ProductsMasterTable[#All],4,FALSE)</f>
        <v>LocalFresh</v>
      </c>
      <c r="S119" s="16">
        <f>VLOOKUP(Sales_Raw!$E119,ProductsMasterTable[#All],5,FALSE)</f>
        <v>43.54</v>
      </c>
      <c r="T119" s="16">
        <f>VLOOKUP(Sales_Raw!$E119,ProductsMasterTable[#All],6,FALSE)</f>
        <v>52.59</v>
      </c>
      <c r="U119" s="16" t="str">
        <f>VLOOKUP(Sales_Raw!$E119,ProductsMasterTable[#All],7,FALSE)</f>
        <v>Sri Ganesh Agencies</v>
      </c>
      <c r="V119" s="16" t="str">
        <f>IFERROR(VLOOKUP(Sales_Raw!$D119,CustomersMasterTable[#All],2,FALSE),"Guest")</f>
        <v>Meena Priyan</v>
      </c>
      <c r="W119" s="16" t="str">
        <f>IFERROR(VLOOKUP(Sales_Raw!$D119,CustomersMasterTable[#All],3,FALSE),"Guest")</f>
        <v>Male</v>
      </c>
      <c r="X119" s="16">
        <f>IFERROR(VLOOKUP(Sales_Raw!$D119,CustomersMasterTable[#All],4,FALSE),"Guest")</f>
        <v>50</v>
      </c>
      <c r="Y119" s="16" t="str">
        <f>IFERROR(VLOOKUP(Sales_Raw!$D119,CustomersMasterTable[#All],5,FALSE),"Guest")</f>
        <v>Namakkal</v>
      </c>
      <c r="Z119" s="16" t="str">
        <f>IFERROR(VLOOKUP(Sales_Raw!$D119,CustomersMasterTable[#All],6,FALSE),"Guest")</f>
        <v>Regular</v>
      </c>
      <c r="AA119" s="18">
        <f>IFERROR(VLOOKUP(Sales_Raw!$D119,CustomersMasterTable[#All],7,FALSE),"Guest")</f>
        <v>46015</v>
      </c>
      <c r="AB119" s="23">
        <f>Master_Data[[#This Row],[Qty]]*Master_Data[[#This Row],[Unit_Price]]</f>
        <v>49.41</v>
      </c>
      <c r="AC119" s="23">
        <f>Master_Data[[#This Row],[Gross_ Sales]]*(1-Master_Data[[#This Row],[Discount Percentage]])</f>
        <v>44.469000000000001</v>
      </c>
      <c r="AD119" s="23">
        <f>Master_Data[[#This Row],[Net_Sales]]-(Master_Data[[#This Row],[Qty]]*Master_Data[[#This Row],[Cost_Price]])</f>
        <v>0.92900000000000205</v>
      </c>
    </row>
    <row r="120" spans="1:30" ht="15">
      <c r="A120" s="8" t="s">
        <v>269</v>
      </c>
      <c r="B120" s="27">
        <f>DATEVALUE(Master_Data[[#This Row],[Sale_Date]])</f>
        <v>46260</v>
      </c>
      <c r="C120" s="8" t="s">
        <v>270</v>
      </c>
      <c r="D120" s="8" t="s">
        <v>179</v>
      </c>
      <c r="E120" s="8" t="str">
        <f>UPPER(TRIM(Sales_Raw!$F120))</f>
        <v>P1010</v>
      </c>
      <c r="F120" s="8" t="s">
        <v>39</v>
      </c>
      <c r="G120" s="8">
        <v>6</v>
      </c>
      <c r="H120" s="9">
        <v>417.75</v>
      </c>
      <c r="I120" s="10">
        <v>0</v>
      </c>
      <c r="J120" s="8" t="str">
        <f>UPPER(TRIM(Sales_Raw!$K120))</f>
        <v>UPI</v>
      </c>
      <c r="K120" s="8" t="s">
        <v>22</v>
      </c>
      <c r="L120" s="8" t="str">
        <f>PROPER(TRIM(Sales_Raw!$M120))</f>
        <v>Fairlands</v>
      </c>
      <c r="M120" s="8" t="s">
        <v>15</v>
      </c>
      <c r="N120" s="7" t="s">
        <v>41</v>
      </c>
      <c r="O120" s="8" t="s">
        <v>17</v>
      </c>
      <c r="P120" s="11" t="str">
        <f>VLOOKUP(Sales_Raw!$E120,ProductsMasterTable[#All],2,FALSE)</f>
        <v>Butter 100g</v>
      </c>
      <c r="Q120" s="11" t="str">
        <f>VLOOKUP(Sales_Raw!$E120,ProductsMasterTable[#All],3,FALSE)</f>
        <v>Dairy</v>
      </c>
      <c r="R120" s="11" t="str">
        <f>VLOOKUP(Sales_Raw!$E120,ProductsMasterTable[#All],4,FALSE)</f>
        <v>Cavin's</v>
      </c>
      <c r="S120" s="11">
        <f>VLOOKUP(Sales_Raw!$E120,ProductsMasterTable[#All],5,FALSE)</f>
        <v>342.47</v>
      </c>
      <c r="T120" s="11">
        <f>VLOOKUP(Sales_Raw!$E120,ProductsMasterTable[#All],6,FALSE)</f>
        <v>441.05</v>
      </c>
      <c r="U120" s="11" t="str">
        <f>VLOOKUP(Sales_Raw!$E120,ProductsMasterTable[#All],7,FALSE)</f>
        <v>Salem Wholesale Mart</v>
      </c>
      <c r="V120" s="11" t="str">
        <f>IFERROR(VLOOKUP(Sales_Raw!$D120,CustomersMasterTable[#All],2,FALSE),"Guest")</f>
        <v>Keerthi S</v>
      </c>
      <c r="W120" s="11" t="str">
        <f>IFERROR(VLOOKUP(Sales_Raw!$D120,CustomersMasterTable[#All],3,FALSE),"Guest")</f>
        <v>Male</v>
      </c>
      <c r="X120" s="11">
        <f>IFERROR(VLOOKUP(Sales_Raw!$D120,CustomersMasterTable[#All],4,FALSE),"Guest")</f>
        <v>66</v>
      </c>
      <c r="Y120" s="11" t="str">
        <f>IFERROR(VLOOKUP(Sales_Raw!$D120,CustomersMasterTable[#All],5,FALSE),"Guest")</f>
        <v>Salem</v>
      </c>
      <c r="Z120" s="11" t="str">
        <f>IFERROR(VLOOKUP(Sales_Raw!$D120,CustomersMasterTable[#All],6,FALSE),"Guest")</f>
        <v>Silver</v>
      </c>
      <c r="AA120" s="17">
        <f>IFERROR(VLOOKUP(Sales_Raw!$D120,CustomersMasterTable[#All],7,FALSE),"Guest")</f>
        <v>45882</v>
      </c>
      <c r="AB120" s="23">
        <f>Master_Data[[#This Row],[Qty]]*Master_Data[[#This Row],[Unit_Price]]</f>
        <v>2506.5</v>
      </c>
      <c r="AC120" s="23">
        <f>Master_Data[[#This Row],[Gross_ Sales]]*(1-Master_Data[[#This Row],[Discount Percentage]])</f>
        <v>2506.5</v>
      </c>
      <c r="AD120" s="23">
        <f>Master_Data[[#This Row],[Net_Sales]]-(Master_Data[[#This Row],[Qty]]*Master_Data[[#This Row],[Cost_Price]])</f>
        <v>451.67999999999984</v>
      </c>
    </row>
    <row r="121" spans="1:30" ht="29.25">
      <c r="A121" s="13" t="s">
        <v>271</v>
      </c>
      <c r="B121" s="28">
        <f>DATEVALUE(Master_Data[[#This Row],[Sale_Date]])</f>
        <v>46242</v>
      </c>
      <c r="C121" s="13" t="s">
        <v>82</v>
      </c>
      <c r="D121" s="13" t="s">
        <v>272</v>
      </c>
      <c r="E121" s="13" t="str">
        <f>UPPER(TRIM(Sales_Raw!$F121))</f>
        <v>P1017</v>
      </c>
      <c r="F121" s="13" t="s">
        <v>132</v>
      </c>
      <c r="G121" s="13">
        <v>2</v>
      </c>
      <c r="H121" s="14">
        <v>302.47000000000003</v>
      </c>
      <c r="I121" s="15">
        <v>0</v>
      </c>
      <c r="J121" s="13" t="str">
        <f>UPPER(TRIM(Sales_Raw!$K121))</f>
        <v>CASH</v>
      </c>
      <c r="K121" s="13" t="s">
        <v>14</v>
      </c>
      <c r="L121" s="13" t="str">
        <f>PROPER(TRIM(Sales_Raw!$M121))</f>
        <v>Suramangalam</v>
      </c>
      <c r="M121" s="13" t="s">
        <v>40</v>
      </c>
      <c r="N121" s="12" t="s">
        <v>24</v>
      </c>
      <c r="O121" s="13" t="s">
        <v>65</v>
      </c>
      <c r="P121" s="16" t="str">
        <f>VLOOKUP(Sales_Raw!$E121,ProductsMasterTable[#All],2,FALSE)</f>
        <v>Mineral Water 1L</v>
      </c>
      <c r="Q121" s="16" t="str">
        <f>VLOOKUP(Sales_Raw!$E121,ProductsMasterTable[#All],3,FALSE)</f>
        <v>Beverages</v>
      </c>
      <c r="R121" s="16" t="str">
        <f>VLOOKUP(Sales_Raw!$E121,ProductsMasterTable[#All],4,FALSE)</f>
        <v>Tata</v>
      </c>
      <c r="S121" s="16">
        <f>VLOOKUP(Sales_Raw!$E121,ProductsMasterTable[#All],5,FALSE)</f>
        <v>262.87</v>
      </c>
      <c r="T121" s="16">
        <f>VLOOKUP(Sales_Raw!$E121,ProductsMasterTable[#All],6,FALSE)</f>
        <v>304.76</v>
      </c>
      <c r="U121" s="16" t="str">
        <f>VLOOKUP(Sales_Raw!$E121,ProductsMasterTable[#All],7,FALSE)</f>
        <v>Kongu Distributors</v>
      </c>
      <c r="V121" s="16" t="str">
        <f>IFERROR(VLOOKUP(Sales_Raw!$D121,CustomersMasterTable[#All],2,FALSE),"Guest")</f>
        <v>Kavin Kumar</v>
      </c>
      <c r="W121" s="16" t="str">
        <f>IFERROR(VLOOKUP(Sales_Raw!$D121,CustomersMasterTable[#All],3,FALSE),"Guest")</f>
        <v>Female</v>
      </c>
      <c r="X121" s="16">
        <f>IFERROR(VLOOKUP(Sales_Raw!$D121,CustomersMasterTable[#All],4,FALSE),"Guest")</f>
        <v>67</v>
      </c>
      <c r="Y121" s="16" t="str">
        <f>IFERROR(VLOOKUP(Sales_Raw!$D121,CustomersMasterTable[#All],5,FALSE),"Guest")</f>
        <v>Erode</v>
      </c>
      <c r="Z121" s="16" t="str">
        <f>IFERROR(VLOOKUP(Sales_Raw!$D121,CustomersMasterTable[#All],6,FALSE),"Guest")</f>
        <v>Silver</v>
      </c>
      <c r="AA121" s="18">
        <f>IFERROR(VLOOKUP(Sales_Raw!$D121,CustomersMasterTable[#All],7,FALSE),"Guest")</f>
        <v>45926</v>
      </c>
      <c r="AB121" s="23">
        <f>Master_Data[[#This Row],[Qty]]*Master_Data[[#This Row],[Unit_Price]]</f>
        <v>604.94000000000005</v>
      </c>
      <c r="AC121" s="23">
        <f>Master_Data[[#This Row],[Gross_ Sales]]*(1-Master_Data[[#This Row],[Discount Percentage]])</f>
        <v>604.94000000000005</v>
      </c>
      <c r="AD121" s="23">
        <f>Master_Data[[#This Row],[Net_Sales]]-(Master_Data[[#This Row],[Qty]]*Master_Data[[#This Row],[Cost_Price]])</f>
        <v>79.200000000000045</v>
      </c>
    </row>
    <row r="122" spans="1:30" ht="29.25">
      <c r="A122" s="8" t="s">
        <v>273</v>
      </c>
      <c r="B122" s="27">
        <f>DATEVALUE(Master_Data[[#This Row],[Sale_Date]])</f>
        <v>46250</v>
      </c>
      <c r="C122" s="8" t="s">
        <v>95</v>
      </c>
      <c r="D122" s="8" t="s">
        <v>186</v>
      </c>
      <c r="E122" s="8" t="str">
        <f>UPPER(TRIM(Sales_Raw!$F122))</f>
        <v>P1005</v>
      </c>
      <c r="F122" s="8" t="s">
        <v>69</v>
      </c>
      <c r="G122" s="8">
        <v>3</v>
      </c>
      <c r="H122" s="9">
        <v>366.7</v>
      </c>
      <c r="I122" s="10">
        <v>0.1</v>
      </c>
      <c r="J122" s="8" t="str">
        <f>UPPER(TRIM(Sales_Raw!$K122))</f>
        <v>UPI</v>
      </c>
      <c r="K122" s="8" t="s">
        <v>22</v>
      </c>
      <c r="L122" s="8" t="str">
        <f>PROPER(TRIM(Sales_Raw!$M122))</f>
        <v>Suramangalam</v>
      </c>
      <c r="M122" s="8" t="s">
        <v>171</v>
      </c>
      <c r="N122" s="7" t="s">
        <v>53</v>
      </c>
      <c r="O122" s="8" t="s">
        <v>54</v>
      </c>
      <c r="P122" s="11" t="str">
        <f>VLOOKUP(Sales_Raw!$E122,ProductsMasterTable[#All],2,FALSE)</f>
        <v>Sugar 1kg</v>
      </c>
      <c r="Q122" s="11" t="str">
        <f>VLOOKUP(Sales_Raw!$E122,ProductsMasterTable[#All],3,FALSE)</f>
        <v>Staples</v>
      </c>
      <c r="R122" s="11" t="str">
        <f>VLOOKUP(Sales_Raw!$E122,ProductsMasterTable[#All],4,FALSE)</f>
        <v>ITC</v>
      </c>
      <c r="S122" s="11">
        <f>VLOOKUP(Sales_Raw!$E122,ProductsMasterTable[#All],5,FALSE)</f>
        <v>305.83999999999997</v>
      </c>
      <c r="T122" s="11">
        <f>VLOOKUP(Sales_Raw!$E122,ProductsMasterTable[#All],6,FALSE)</f>
        <v>391.87</v>
      </c>
      <c r="U122" s="11" t="str">
        <f>VLOOKUP(Sales_Raw!$E122,ProductsMasterTable[#All],7,FALSE)</f>
        <v>Kongu Distributors</v>
      </c>
      <c r="V122" s="11" t="str">
        <f>IFERROR(VLOOKUP(Sales_Raw!$D122,CustomersMasterTable[#All],2,FALSE),"Guest")</f>
        <v>Divya Raj</v>
      </c>
      <c r="W122" s="11" t="str">
        <f>IFERROR(VLOOKUP(Sales_Raw!$D122,CustomersMasterTable[#All],3,FALSE),"Guest")</f>
        <v>Female</v>
      </c>
      <c r="X122" s="11">
        <f>IFERROR(VLOOKUP(Sales_Raw!$D122,CustomersMasterTable[#All],4,FALSE),"Guest")</f>
        <v>31</v>
      </c>
      <c r="Y122" s="11" t="str">
        <f>IFERROR(VLOOKUP(Sales_Raw!$D122,CustomersMasterTable[#All],5,FALSE),"Guest")</f>
        <v>Dharmapuri</v>
      </c>
      <c r="Z122" s="11" t="str">
        <f>IFERROR(VLOOKUP(Sales_Raw!$D122,CustomersMasterTable[#All],6,FALSE),"Guest")</f>
        <v>Silver</v>
      </c>
      <c r="AA122" s="17">
        <f>IFERROR(VLOOKUP(Sales_Raw!$D122,CustomersMasterTable[#All],7,FALSE),"Guest")</f>
        <v>45863</v>
      </c>
      <c r="AB122" s="23">
        <f>Master_Data[[#This Row],[Qty]]*Master_Data[[#This Row],[Unit_Price]]</f>
        <v>1100.0999999999999</v>
      </c>
      <c r="AC122" s="23">
        <f>Master_Data[[#This Row],[Gross_ Sales]]*(1-Master_Data[[#This Row],[Discount Percentage]])</f>
        <v>990.08999999999992</v>
      </c>
      <c r="AD122" s="23">
        <f>Master_Data[[#This Row],[Net_Sales]]-(Master_Data[[#This Row],[Qty]]*Master_Data[[#This Row],[Cost_Price]])</f>
        <v>72.569999999999936</v>
      </c>
    </row>
    <row r="123" spans="1:30" ht="15">
      <c r="A123" s="13" t="s">
        <v>274</v>
      </c>
      <c r="B123" s="28">
        <f>DATEVALUE(Master_Data[[#This Row],[Sale_Date]])</f>
        <v>46246</v>
      </c>
      <c r="C123" s="13" t="s">
        <v>230</v>
      </c>
      <c r="D123" s="13" t="s">
        <v>62</v>
      </c>
      <c r="E123" s="13" t="str">
        <f>UPPER(TRIM(Sales_Raw!$F123))</f>
        <v>P1021</v>
      </c>
      <c r="F123" s="13" t="s">
        <v>63</v>
      </c>
      <c r="G123" s="13">
        <v>4</v>
      </c>
      <c r="H123" s="14">
        <v>56.79</v>
      </c>
      <c r="I123" s="15">
        <v>0.1</v>
      </c>
      <c r="J123" s="13" t="str">
        <f>UPPER(TRIM(Sales_Raw!$K123))</f>
        <v>CARD</v>
      </c>
      <c r="K123" s="13" t="s">
        <v>34</v>
      </c>
      <c r="L123" s="13" t="str">
        <f>PROPER(TRIM(Sales_Raw!$M123))</f>
        <v>Hasthampatti</v>
      </c>
      <c r="M123" s="13" t="s">
        <v>23</v>
      </c>
      <c r="N123" s="12" t="s">
        <v>41</v>
      </c>
      <c r="O123" s="13" t="s">
        <v>65</v>
      </c>
      <c r="P123" s="16" t="str">
        <f>VLOOKUP(Sales_Raw!$E123,ProductsMasterTable[#All],2,FALSE)</f>
        <v>Coffee 200g</v>
      </c>
      <c r="Q123" s="16" t="str">
        <f>VLOOKUP(Sales_Raw!$E123,ProductsMasterTable[#All],3,FALSE)</f>
        <v>Beverages</v>
      </c>
      <c r="R123" s="16" t="str">
        <f>VLOOKUP(Sales_Raw!$E123,ProductsMasterTable[#All],4,FALSE)</f>
        <v>Surf</v>
      </c>
      <c r="S123" s="16">
        <f>VLOOKUP(Sales_Raw!$E123,ProductsMasterTable[#All],5,FALSE)</f>
        <v>44.61</v>
      </c>
      <c r="T123" s="16">
        <f>VLOOKUP(Sales_Raw!$E123,ProductsMasterTable[#All],6,FALSE)</f>
        <v>59.33</v>
      </c>
      <c r="U123" s="16" t="str">
        <f>VLOOKUP(Sales_Raw!$E123,ProductsMasterTable[#All],7,FALSE)</f>
        <v>Metro Supply Co</v>
      </c>
      <c r="V123" s="16" t="str">
        <f>IFERROR(VLOOKUP(Sales_Raw!$D123,CustomersMasterTable[#All],2,FALSE),"Guest")</f>
        <v>Divya Shree</v>
      </c>
      <c r="W123" s="16" t="str">
        <f>IFERROR(VLOOKUP(Sales_Raw!$D123,CustomersMasterTable[#All],3,FALSE),"Guest")</f>
        <v>Female</v>
      </c>
      <c r="X123" s="16">
        <f>IFERROR(VLOOKUP(Sales_Raw!$D123,CustomersMasterTable[#All],4,FALSE),"Guest")</f>
        <v>43</v>
      </c>
      <c r="Y123" s="16" t="str">
        <f>IFERROR(VLOOKUP(Sales_Raw!$D123,CustomersMasterTable[#All],5,FALSE),"Guest")</f>
        <v>Dharmapuri</v>
      </c>
      <c r="Z123" s="16" t="str">
        <f>IFERROR(VLOOKUP(Sales_Raw!$D123,CustomersMasterTable[#All],6,FALSE),"Guest")</f>
        <v>Silver</v>
      </c>
      <c r="AA123" s="18">
        <f>IFERROR(VLOOKUP(Sales_Raw!$D123,CustomersMasterTable[#All],7,FALSE),"Guest")</f>
        <v>45969</v>
      </c>
      <c r="AB123" s="23">
        <f>Master_Data[[#This Row],[Qty]]*Master_Data[[#This Row],[Unit_Price]]</f>
        <v>227.16</v>
      </c>
      <c r="AC123" s="23">
        <f>Master_Data[[#This Row],[Gross_ Sales]]*(1-Master_Data[[#This Row],[Discount Percentage]])</f>
        <v>204.44399999999999</v>
      </c>
      <c r="AD123" s="23">
        <f>Master_Data[[#This Row],[Net_Sales]]-(Master_Data[[#This Row],[Qty]]*Master_Data[[#This Row],[Cost_Price]])</f>
        <v>26.003999999999991</v>
      </c>
    </row>
    <row r="124" spans="1:30" ht="15">
      <c r="A124" s="8" t="s">
        <v>275</v>
      </c>
      <c r="B124" s="27">
        <f>DATEVALUE(Master_Data[[#This Row],[Sale_Date]])</f>
        <v>46255</v>
      </c>
      <c r="C124" s="8" t="s">
        <v>158</v>
      </c>
      <c r="D124" s="8" t="s">
        <v>179</v>
      </c>
      <c r="E124" s="8" t="str">
        <f>UPPER(TRIM(Sales_Raw!$F124))</f>
        <v>P1021</v>
      </c>
      <c r="F124" s="8" t="s">
        <v>63</v>
      </c>
      <c r="G124" s="8">
        <v>3</v>
      </c>
      <c r="H124" s="9">
        <v>55.3</v>
      </c>
      <c r="I124" s="10">
        <v>0</v>
      </c>
      <c r="J124" s="8" t="str">
        <f>UPPER(TRIM(Sales_Raw!$K124))</f>
        <v>CASH</v>
      </c>
      <c r="K124" s="8" t="s">
        <v>14</v>
      </c>
      <c r="L124" s="8" t="str">
        <f>PROPER(TRIM(Sales_Raw!$M124))</f>
        <v>Hasthampatti</v>
      </c>
      <c r="M124" s="8" t="s">
        <v>23</v>
      </c>
      <c r="N124" s="7" t="s">
        <v>16</v>
      </c>
      <c r="O124" s="8" t="s">
        <v>65</v>
      </c>
      <c r="P124" s="11" t="str">
        <f>VLOOKUP(Sales_Raw!$E124,ProductsMasterTable[#All],2,FALSE)</f>
        <v>Coffee 200g</v>
      </c>
      <c r="Q124" s="11" t="str">
        <f>VLOOKUP(Sales_Raw!$E124,ProductsMasterTable[#All],3,FALSE)</f>
        <v>Beverages</v>
      </c>
      <c r="R124" s="11" t="str">
        <f>VLOOKUP(Sales_Raw!$E124,ProductsMasterTable[#All],4,FALSE)</f>
        <v>Surf</v>
      </c>
      <c r="S124" s="11">
        <f>VLOOKUP(Sales_Raw!$E124,ProductsMasterTable[#All],5,FALSE)</f>
        <v>44.61</v>
      </c>
      <c r="T124" s="11">
        <f>VLOOKUP(Sales_Raw!$E124,ProductsMasterTable[#All],6,FALSE)</f>
        <v>59.33</v>
      </c>
      <c r="U124" s="11" t="str">
        <f>VLOOKUP(Sales_Raw!$E124,ProductsMasterTable[#All],7,FALSE)</f>
        <v>Metro Supply Co</v>
      </c>
      <c r="V124" s="11" t="str">
        <f>IFERROR(VLOOKUP(Sales_Raw!$D124,CustomersMasterTable[#All],2,FALSE),"Guest")</f>
        <v>Keerthi S</v>
      </c>
      <c r="W124" s="11" t="str">
        <f>IFERROR(VLOOKUP(Sales_Raw!$D124,CustomersMasterTable[#All],3,FALSE),"Guest")</f>
        <v>Male</v>
      </c>
      <c r="X124" s="11">
        <f>IFERROR(VLOOKUP(Sales_Raw!$D124,CustomersMasterTable[#All],4,FALSE),"Guest")</f>
        <v>66</v>
      </c>
      <c r="Y124" s="11" t="str">
        <f>IFERROR(VLOOKUP(Sales_Raw!$D124,CustomersMasterTable[#All],5,FALSE),"Guest")</f>
        <v>Salem</v>
      </c>
      <c r="Z124" s="11" t="str">
        <f>IFERROR(VLOOKUP(Sales_Raw!$D124,CustomersMasterTable[#All],6,FALSE),"Guest")</f>
        <v>Silver</v>
      </c>
      <c r="AA124" s="17">
        <f>IFERROR(VLOOKUP(Sales_Raw!$D124,CustomersMasterTable[#All],7,FALSE),"Guest")</f>
        <v>45882</v>
      </c>
      <c r="AB124" s="23">
        <f>Master_Data[[#This Row],[Qty]]*Master_Data[[#This Row],[Unit_Price]]</f>
        <v>165.89999999999998</v>
      </c>
      <c r="AC124" s="23">
        <f>Master_Data[[#This Row],[Gross_ Sales]]*(1-Master_Data[[#This Row],[Discount Percentage]])</f>
        <v>165.89999999999998</v>
      </c>
      <c r="AD124" s="23">
        <f>Master_Data[[#This Row],[Net_Sales]]-(Master_Data[[#This Row],[Qty]]*Master_Data[[#This Row],[Cost_Price]])</f>
        <v>32.069999999999993</v>
      </c>
    </row>
    <row r="125" spans="1:30" ht="15">
      <c r="A125" s="13" t="s">
        <v>276</v>
      </c>
      <c r="B125" s="28">
        <f>DATEVALUE(Master_Data[[#This Row],[Sale_Date]])</f>
        <v>46252</v>
      </c>
      <c r="C125" s="13" t="s">
        <v>197</v>
      </c>
      <c r="D125" s="13" t="s">
        <v>76</v>
      </c>
      <c r="E125" s="13" t="str">
        <f>UPPER(TRIM(Sales_Raw!$F125))</f>
        <v>P1002</v>
      </c>
      <c r="F125" s="13" t="s">
        <v>232</v>
      </c>
      <c r="G125" s="13">
        <v>3</v>
      </c>
      <c r="H125" s="14">
        <v>133.44</v>
      </c>
      <c r="I125" s="15">
        <v>0</v>
      </c>
      <c r="J125" s="13" t="str">
        <f>UPPER(TRIM(Sales_Raw!$K125))</f>
        <v>CASH</v>
      </c>
      <c r="K125" s="13" t="s">
        <v>14</v>
      </c>
      <c r="L125" s="13" t="str">
        <f>PROPER(TRIM(Sales_Raw!$M125))</f>
        <v>Hasthampatti</v>
      </c>
      <c r="M125" s="13" t="s">
        <v>23</v>
      </c>
      <c r="N125" s="12" t="s">
        <v>53</v>
      </c>
      <c r="O125" s="13" t="s">
        <v>54</v>
      </c>
      <c r="P125" s="16" t="str">
        <f>VLOOKUP(Sales_Raw!$E125,ProductsMasterTable[#All],2,FALSE)</f>
        <v>Wheat Flour 5kg</v>
      </c>
      <c r="Q125" s="16" t="str">
        <f>VLOOKUP(Sales_Raw!$E125,ProductsMasterTable[#All],3,FALSE)</f>
        <v>Staples</v>
      </c>
      <c r="R125" s="16" t="str">
        <f>VLOOKUP(Sales_Raw!$E125,ProductsMasterTable[#All],4,FALSE)</f>
        <v>Cavin's</v>
      </c>
      <c r="S125" s="16">
        <f>VLOOKUP(Sales_Raw!$E125,ProductsMasterTable[#All],5,FALSE)</f>
        <v>107.73</v>
      </c>
      <c r="T125" s="16">
        <f>VLOOKUP(Sales_Raw!$E125,ProductsMasterTable[#All],6,FALSE)</f>
        <v>138.91</v>
      </c>
      <c r="U125" s="16" t="str">
        <f>VLOOKUP(Sales_Raw!$E125,ProductsMasterTable[#All],7,FALSE)</f>
        <v>Salem Wholesale Mart</v>
      </c>
      <c r="V125" s="16" t="str">
        <f>IFERROR(VLOOKUP(Sales_Raw!$D125,CustomersMasterTable[#All],2,FALSE),"Guest")</f>
        <v>Keerthi R</v>
      </c>
      <c r="W125" s="16" t="str">
        <f>IFERROR(VLOOKUP(Sales_Raw!$D125,CustomersMasterTable[#All],3,FALSE),"Guest")</f>
        <v>Female</v>
      </c>
      <c r="X125" s="16">
        <f>IFERROR(VLOOKUP(Sales_Raw!$D125,CustomersMasterTable[#All],4,FALSE),"Guest")</f>
        <v>67</v>
      </c>
      <c r="Y125" s="16" t="str">
        <f>IFERROR(VLOOKUP(Sales_Raw!$D125,CustomersMasterTable[#All],5,FALSE),"Guest")</f>
        <v>Dharmapuri</v>
      </c>
      <c r="Z125" s="16" t="str">
        <f>IFERROR(VLOOKUP(Sales_Raw!$D125,CustomersMasterTable[#All],6,FALSE),"Guest")</f>
        <v>Gold</v>
      </c>
      <c r="AA125" s="18">
        <f>IFERROR(VLOOKUP(Sales_Raw!$D125,CustomersMasterTable[#All],7,FALSE),"Guest")</f>
        <v>46074</v>
      </c>
      <c r="AB125" s="23">
        <f>Master_Data[[#This Row],[Qty]]*Master_Data[[#This Row],[Unit_Price]]</f>
        <v>400.32</v>
      </c>
      <c r="AC125" s="23">
        <f>Master_Data[[#This Row],[Gross_ Sales]]*(1-Master_Data[[#This Row],[Discount Percentage]])</f>
        <v>400.32</v>
      </c>
      <c r="AD125" s="23">
        <f>Master_Data[[#This Row],[Net_Sales]]-(Master_Data[[#This Row],[Qty]]*Master_Data[[#This Row],[Cost_Price]])</f>
        <v>77.13</v>
      </c>
    </row>
    <row r="126" spans="1:30" ht="29.25">
      <c r="A126" s="8" t="s">
        <v>277</v>
      </c>
      <c r="B126" s="27">
        <f>DATEVALUE(Master_Data[[#This Row],[Sale_Date]])</f>
        <v>46238</v>
      </c>
      <c r="C126" s="8" t="s">
        <v>278</v>
      </c>
      <c r="D126" s="8" t="s">
        <v>249</v>
      </c>
      <c r="E126" s="8" t="str">
        <f>UPPER(TRIM(Sales_Raw!$F126))</f>
        <v>P1027</v>
      </c>
      <c r="F126" s="8" t="s">
        <v>156</v>
      </c>
      <c r="G126" s="8">
        <v>3</v>
      </c>
      <c r="H126" s="9">
        <v>325.89999999999998</v>
      </c>
      <c r="I126" s="10">
        <v>0</v>
      </c>
      <c r="J126" s="8" t="str">
        <f>UPPER(TRIM(Sales_Raw!$K126))</f>
        <v>CARD</v>
      </c>
      <c r="K126" s="8" t="s">
        <v>34</v>
      </c>
      <c r="L126" s="8" t="str">
        <f>PROPER(TRIM(Sales_Raw!$M126))</f>
        <v>Suramangalam</v>
      </c>
      <c r="M126" s="8" t="s">
        <v>40</v>
      </c>
      <c r="N126" s="7" t="s">
        <v>41</v>
      </c>
      <c r="O126" s="8" t="s">
        <v>25</v>
      </c>
      <c r="P126" s="11" t="str">
        <f>VLOOKUP(Sales_Raw!$E126,ProductsMasterTable[#All],2,FALSE)</f>
        <v>Detergent 1kg</v>
      </c>
      <c r="Q126" s="11" t="str">
        <f>VLOOKUP(Sales_Raw!$E126,ProductsMasterTable[#All],3,FALSE)</f>
        <v>Household</v>
      </c>
      <c r="R126" s="11" t="str">
        <f>VLOOKUP(Sales_Raw!$E126,ProductsMasterTable[#All],4,FALSE)</f>
        <v>ITC</v>
      </c>
      <c r="S126" s="11">
        <f>VLOOKUP(Sales_Raw!$E126,ProductsMasterTable[#All],5,FALSE)</f>
        <v>270.23</v>
      </c>
      <c r="T126" s="11">
        <f>VLOOKUP(Sales_Raw!$E126,ProductsMasterTable[#All],6,FALSE)</f>
        <v>351.89</v>
      </c>
      <c r="U126" s="11" t="str">
        <f>VLOOKUP(Sales_Raw!$E126,ProductsMasterTable[#All],7,FALSE)</f>
        <v>Sri Ganesh Agencies</v>
      </c>
      <c r="V126" s="11" t="str">
        <f>IFERROR(VLOOKUP(Sales_Raw!$D126,CustomersMasterTable[#All],2,FALSE),"Guest")</f>
        <v>Keerthi Shree</v>
      </c>
      <c r="W126" s="11" t="str">
        <f>IFERROR(VLOOKUP(Sales_Raw!$D126,CustomersMasterTable[#All],3,FALSE),"Guest")</f>
        <v>Male</v>
      </c>
      <c r="X126" s="11">
        <f>IFERROR(VLOOKUP(Sales_Raw!$D126,CustomersMasterTable[#All],4,FALSE),"Guest")</f>
        <v>57</v>
      </c>
      <c r="Y126" s="11" t="str">
        <f>IFERROR(VLOOKUP(Sales_Raw!$D126,CustomersMasterTable[#All],5,FALSE),"Guest")</f>
        <v>Salem</v>
      </c>
      <c r="Z126" s="11" t="str">
        <f>IFERROR(VLOOKUP(Sales_Raw!$D126,CustomersMasterTable[#All],6,FALSE),"Guest")</f>
        <v>Regular</v>
      </c>
      <c r="AA126" s="17">
        <f>IFERROR(VLOOKUP(Sales_Raw!$D126,CustomersMasterTable[#All],7,FALSE),"Guest")</f>
        <v>46255</v>
      </c>
      <c r="AB126" s="23">
        <f>Master_Data[[#This Row],[Qty]]*Master_Data[[#This Row],[Unit_Price]]</f>
        <v>977.69999999999993</v>
      </c>
      <c r="AC126" s="23">
        <f>Master_Data[[#This Row],[Gross_ Sales]]*(1-Master_Data[[#This Row],[Discount Percentage]])</f>
        <v>977.69999999999993</v>
      </c>
      <c r="AD126" s="23">
        <f>Master_Data[[#This Row],[Net_Sales]]-(Master_Data[[#This Row],[Qty]]*Master_Data[[#This Row],[Cost_Price]])</f>
        <v>167.00999999999988</v>
      </c>
    </row>
    <row r="127" spans="1:30" ht="15">
      <c r="A127" s="13" t="s">
        <v>279</v>
      </c>
      <c r="B127" s="28">
        <f>DATEVALUE(Master_Data[[#This Row],[Sale_Date]])</f>
        <v>46259</v>
      </c>
      <c r="C127" s="13" t="s">
        <v>98</v>
      </c>
      <c r="D127" s="13" t="s">
        <v>169</v>
      </c>
      <c r="E127" s="13" t="str">
        <f>UPPER(TRIM(Sales_Raw!$F127))</f>
        <v>P1019</v>
      </c>
      <c r="F127" s="13" t="s">
        <v>84</v>
      </c>
      <c r="G127" s="13">
        <v>5</v>
      </c>
      <c r="H127" s="14">
        <v>383.83</v>
      </c>
      <c r="I127" s="15">
        <v>0.15</v>
      </c>
      <c r="J127" s="13" t="str">
        <f>UPPER(TRIM(Sales_Raw!$K127))</f>
        <v>UPI</v>
      </c>
      <c r="K127" s="13" t="s">
        <v>22</v>
      </c>
      <c r="L127" s="13" t="str">
        <f>PROPER(TRIM(Sales_Raw!$M127))</f>
        <v>Hasthampatti</v>
      </c>
      <c r="M127" s="13" t="s">
        <v>23</v>
      </c>
      <c r="N127" s="12" t="s">
        <v>41</v>
      </c>
      <c r="O127" s="13" t="s">
        <v>65</v>
      </c>
      <c r="P127" s="16" t="str">
        <f>VLOOKUP(Sales_Raw!$E127,ProductsMasterTable[#All],2,FALSE)</f>
        <v>Cola 750ml</v>
      </c>
      <c r="Q127" s="16" t="str">
        <f>VLOOKUP(Sales_Raw!$E127,ProductsMasterTable[#All],3,FALSE)</f>
        <v>Beverages</v>
      </c>
      <c r="R127" s="16" t="str">
        <f>VLOOKUP(Sales_Raw!$E127,ProductsMasterTable[#All],4,FALSE)</f>
        <v>Aachi</v>
      </c>
      <c r="S127" s="16">
        <f>VLOOKUP(Sales_Raw!$E127,ProductsMasterTable[#All],5,FALSE)</f>
        <v>293.20999999999998</v>
      </c>
      <c r="T127" s="16">
        <f>VLOOKUP(Sales_Raw!$E127,ProductsMasterTable[#All],6,FALSE)</f>
        <v>385.24</v>
      </c>
      <c r="U127" s="16" t="str">
        <f>VLOOKUP(Sales_Raw!$E127,ProductsMasterTable[#All],7,FALSE)</f>
        <v>Kongu Distributors</v>
      </c>
      <c r="V127" s="16" t="str">
        <f>IFERROR(VLOOKUP(Sales_Raw!$D127,CustomersMasterTable[#All],2,FALSE),"Guest")</f>
        <v>Anitha Shree</v>
      </c>
      <c r="W127" s="16" t="str">
        <f>IFERROR(VLOOKUP(Sales_Raw!$D127,CustomersMasterTable[#All],3,FALSE),"Guest")</f>
        <v>Male</v>
      </c>
      <c r="X127" s="16">
        <f>IFERROR(VLOOKUP(Sales_Raw!$D127,CustomersMasterTable[#All],4,FALSE),"Guest")</f>
        <v>60</v>
      </c>
      <c r="Y127" s="16" t="str">
        <f>IFERROR(VLOOKUP(Sales_Raw!$D127,CustomersMasterTable[#All],5,FALSE),"Guest")</f>
        <v>Dharmapuri</v>
      </c>
      <c r="Z127" s="16" t="str">
        <f>IFERROR(VLOOKUP(Sales_Raw!$D127,CustomersMasterTable[#All],6,FALSE),"Guest")</f>
        <v>Regular</v>
      </c>
      <c r="AA127" s="18">
        <f>IFERROR(VLOOKUP(Sales_Raw!$D127,CustomersMasterTable[#All],7,FALSE),"Guest")</f>
        <v>45764</v>
      </c>
      <c r="AB127" s="23">
        <f>Master_Data[[#This Row],[Qty]]*Master_Data[[#This Row],[Unit_Price]]</f>
        <v>1919.1499999999999</v>
      </c>
      <c r="AC127" s="23">
        <f>Master_Data[[#This Row],[Gross_ Sales]]*(1-Master_Data[[#This Row],[Discount Percentage]])</f>
        <v>1631.2774999999999</v>
      </c>
      <c r="AD127" s="23">
        <f>Master_Data[[#This Row],[Net_Sales]]-(Master_Data[[#This Row],[Qty]]*Master_Data[[#This Row],[Cost_Price]])</f>
        <v>165.22749999999996</v>
      </c>
    </row>
    <row r="128" spans="1:30" ht="15">
      <c r="A128" s="8" t="s">
        <v>280</v>
      </c>
      <c r="B128" s="27">
        <f>DATEVALUE(Master_Data[[#This Row],[Sale_Date]])</f>
        <v>46247</v>
      </c>
      <c r="C128" s="8" t="s">
        <v>104</v>
      </c>
      <c r="D128" s="8" t="s">
        <v>20</v>
      </c>
      <c r="E128" s="8" t="str">
        <f>UPPER(TRIM(Sales_Raw!$F128))</f>
        <v>P1020</v>
      </c>
      <c r="F128" s="8" t="s">
        <v>73</v>
      </c>
      <c r="G128" s="8">
        <v>4</v>
      </c>
      <c r="H128" s="9">
        <v>436.53</v>
      </c>
      <c r="I128" s="10">
        <v>0</v>
      </c>
      <c r="J128" s="8" t="str">
        <f>UPPER(TRIM(Sales_Raw!$K128))</f>
        <v>CASH</v>
      </c>
      <c r="K128" s="8" t="s">
        <v>14</v>
      </c>
      <c r="L128" s="8" t="str">
        <f>PROPER(TRIM(Sales_Raw!$M128))</f>
        <v>Fairlands</v>
      </c>
      <c r="M128" s="8" t="s">
        <v>15</v>
      </c>
      <c r="N128" s="7" t="s">
        <v>16</v>
      </c>
      <c r="O128" s="8" t="s">
        <v>65</v>
      </c>
      <c r="P128" s="11" t="str">
        <f>VLOOKUP(Sales_Raw!$E128,ProductsMasterTable[#All],2,FALSE)</f>
        <v>Tea 250g</v>
      </c>
      <c r="Q128" s="11" t="str">
        <f>VLOOKUP(Sales_Raw!$E128,ProductsMasterTable[#All],3,FALSE)</f>
        <v>Beverages</v>
      </c>
      <c r="R128" s="11" t="str">
        <f>VLOOKUP(Sales_Raw!$E128,ProductsMasterTable[#All],4,FALSE)</f>
        <v>ITC</v>
      </c>
      <c r="S128" s="11">
        <f>VLOOKUP(Sales_Raw!$E128,ProductsMasterTable[#All],5,FALSE)</f>
        <v>348.36</v>
      </c>
      <c r="T128" s="11">
        <f>VLOOKUP(Sales_Raw!$E128,ProductsMasterTable[#All],6,FALSE)</f>
        <v>454.67</v>
      </c>
      <c r="U128" s="11" t="str">
        <f>VLOOKUP(Sales_Raw!$E128,ProductsMasterTable[#All],7,FALSE)</f>
        <v>Metro Supply Co</v>
      </c>
      <c r="V128" s="11" t="str">
        <f>IFERROR(VLOOKUP(Sales_Raw!$D128,CustomersMasterTable[#All],2,FALSE),"Guest")</f>
        <v>Gayathri Kumar</v>
      </c>
      <c r="W128" s="11" t="str">
        <f>IFERROR(VLOOKUP(Sales_Raw!$D128,CustomersMasterTable[#All],3,FALSE),"Guest")</f>
        <v>Female</v>
      </c>
      <c r="X128" s="11">
        <f>IFERROR(VLOOKUP(Sales_Raw!$D128,CustomersMasterTable[#All],4,FALSE),"Guest")</f>
        <v>21</v>
      </c>
      <c r="Y128" s="11" t="str">
        <f>IFERROR(VLOOKUP(Sales_Raw!$D128,CustomersMasterTable[#All],5,FALSE),"Guest")</f>
        <v>Salem</v>
      </c>
      <c r="Z128" s="11" t="str">
        <f>IFERROR(VLOOKUP(Sales_Raw!$D128,CustomersMasterTable[#All],6,FALSE),"Guest")</f>
        <v>Silver</v>
      </c>
      <c r="AA128" s="17">
        <f>IFERROR(VLOOKUP(Sales_Raw!$D128,CustomersMasterTable[#All],7,FALSE),"Guest")</f>
        <v>46172</v>
      </c>
      <c r="AB128" s="23">
        <f>Master_Data[[#This Row],[Qty]]*Master_Data[[#This Row],[Unit_Price]]</f>
        <v>1746.12</v>
      </c>
      <c r="AC128" s="23">
        <f>Master_Data[[#This Row],[Gross_ Sales]]*(1-Master_Data[[#This Row],[Discount Percentage]])</f>
        <v>1746.12</v>
      </c>
      <c r="AD128" s="23">
        <f>Master_Data[[#This Row],[Net_Sales]]-(Master_Data[[#This Row],[Qty]]*Master_Data[[#This Row],[Cost_Price]])</f>
        <v>352.67999999999984</v>
      </c>
    </row>
    <row r="129" spans="1:30" ht="15">
      <c r="A129" s="13" t="s">
        <v>281</v>
      </c>
      <c r="B129" s="28">
        <f>DATEVALUE(Master_Data[[#This Row],[Sale_Date]])</f>
        <v>46240</v>
      </c>
      <c r="C129" s="13" t="s">
        <v>182</v>
      </c>
      <c r="D129" s="13" t="s">
        <v>282</v>
      </c>
      <c r="E129" s="13" t="str">
        <f>UPPER(TRIM(Sales_Raw!$F129))</f>
        <v>P1021</v>
      </c>
      <c r="F129" s="13" t="s">
        <v>63</v>
      </c>
      <c r="G129" s="13">
        <v>2</v>
      </c>
      <c r="H129" s="14">
        <v>54.77</v>
      </c>
      <c r="I129" s="15">
        <v>0.15</v>
      </c>
      <c r="J129" s="13" t="str">
        <f>UPPER(TRIM(Sales_Raw!$K129))</f>
        <v>CASH</v>
      </c>
      <c r="K129" s="13" t="s">
        <v>79</v>
      </c>
      <c r="L129" s="13" t="str">
        <f>PROPER(TRIM(Sales_Raw!$M129))</f>
        <v>Hasthampatti</v>
      </c>
      <c r="M129" s="13" t="s">
        <v>23</v>
      </c>
      <c r="N129" s="12" t="s">
        <v>41</v>
      </c>
      <c r="O129" s="13" t="s">
        <v>65</v>
      </c>
      <c r="P129" s="16" t="str">
        <f>VLOOKUP(Sales_Raw!$E129,ProductsMasterTable[#All],2,FALSE)</f>
        <v>Coffee 200g</v>
      </c>
      <c r="Q129" s="16" t="str">
        <f>VLOOKUP(Sales_Raw!$E129,ProductsMasterTable[#All],3,FALSE)</f>
        <v>Beverages</v>
      </c>
      <c r="R129" s="16" t="str">
        <f>VLOOKUP(Sales_Raw!$E129,ProductsMasterTable[#All],4,FALSE)</f>
        <v>Surf</v>
      </c>
      <c r="S129" s="16">
        <f>VLOOKUP(Sales_Raw!$E129,ProductsMasterTable[#All],5,FALSE)</f>
        <v>44.61</v>
      </c>
      <c r="T129" s="16">
        <f>VLOOKUP(Sales_Raw!$E129,ProductsMasterTable[#All],6,FALSE)</f>
        <v>59.33</v>
      </c>
      <c r="U129" s="16" t="str">
        <f>VLOOKUP(Sales_Raw!$E129,ProductsMasterTable[#All],7,FALSE)</f>
        <v>Metro Supply Co</v>
      </c>
      <c r="V129" s="16" t="str">
        <f>IFERROR(VLOOKUP(Sales_Raw!$D129,CustomersMasterTable[#All],2,FALSE),"Guest")</f>
        <v>Praveen Babu</v>
      </c>
      <c r="W129" s="16" t="str">
        <f>IFERROR(VLOOKUP(Sales_Raw!$D129,CustomersMasterTable[#All],3,FALSE),"Guest")</f>
        <v>Female</v>
      </c>
      <c r="X129" s="16">
        <f>IFERROR(VLOOKUP(Sales_Raw!$D129,CustomersMasterTable[#All],4,FALSE),"Guest")</f>
        <v>21</v>
      </c>
      <c r="Y129" s="16" t="str">
        <f>IFERROR(VLOOKUP(Sales_Raw!$D129,CustomersMasterTable[#All],5,FALSE),"Guest")</f>
        <v>Salem</v>
      </c>
      <c r="Z129" s="16" t="str">
        <f>IFERROR(VLOOKUP(Sales_Raw!$D129,CustomersMasterTable[#All],6,FALSE),"Guest")</f>
        <v>Silver</v>
      </c>
      <c r="AA129" s="18">
        <f>IFERROR(VLOOKUP(Sales_Raw!$D129,CustomersMasterTable[#All],7,FALSE),"Guest")</f>
        <v>45941</v>
      </c>
      <c r="AB129" s="23">
        <f>Master_Data[[#This Row],[Qty]]*Master_Data[[#This Row],[Unit_Price]]</f>
        <v>109.54</v>
      </c>
      <c r="AC129" s="23">
        <f>Master_Data[[#This Row],[Gross_ Sales]]*(1-Master_Data[[#This Row],[Discount Percentage]])</f>
        <v>93.109000000000009</v>
      </c>
      <c r="AD129" s="23">
        <f>Master_Data[[#This Row],[Net_Sales]]-(Master_Data[[#This Row],[Qty]]*Master_Data[[#This Row],[Cost_Price]])</f>
        <v>3.88900000000001</v>
      </c>
    </row>
    <row r="130" spans="1:30" ht="15">
      <c r="A130" s="8" t="s">
        <v>283</v>
      </c>
      <c r="B130" s="27">
        <f>DATEVALUE(Master_Data[[#This Row],[Sale_Date]])</f>
        <v>46268</v>
      </c>
      <c r="C130" s="8" t="s">
        <v>118</v>
      </c>
      <c r="D130" s="8" t="s">
        <v>191</v>
      </c>
      <c r="E130" s="8" t="str">
        <f>UPPER(TRIM(Sales_Raw!$F130))</f>
        <v>P1006</v>
      </c>
      <c r="F130" s="8" t="s">
        <v>284</v>
      </c>
      <c r="G130" s="8">
        <v>3</v>
      </c>
      <c r="H130" s="9">
        <v>223.32</v>
      </c>
      <c r="I130" s="10">
        <v>0</v>
      </c>
      <c r="J130" s="8" t="str">
        <f>UPPER(TRIM(Sales_Raw!$K130))</f>
        <v>CASH</v>
      </c>
      <c r="K130" s="8" t="s">
        <v>14</v>
      </c>
      <c r="L130" s="8" t="str">
        <f>PROPER(TRIM(Sales_Raw!$M130))</f>
        <v>Hasthampatti</v>
      </c>
      <c r="M130" s="8" t="s">
        <v>23</v>
      </c>
      <c r="N130" s="7" t="s">
        <v>16</v>
      </c>
      <c r="O130" s="8" t="s">
        <v>54</v>
      </c>
      <c r="P130" s="11" t="str">
        <f>VLOOKUP(Sales_Raw!$E130,ProductsMasterTable[#All],2,FALSE)</f>
        <v>Salt 1kg</v>
      </c>
      <c r="Q130" s="11" t="str">
        <f>VLOOKUP(Sales_Raw!$E130,ProductsMasterTable[#All],3,FALSE)</f>
        <v>Staples</v>
      </c>
      <c r="R130" s="11" t="str">
        <f>VLOOKUP(Sales_Raw!$E130,ProductsMasterTable[#All],4,FALSE)</f>
        <v>Aachi</v>
      </c>
      <c r="S130" s="11">
        <f>VLOOKUP(Sales_Raw!$E130,ProductsMasterTable[#All],5,FALSE)</f>
        <v>198.58</v>
      </c>
      <c r="T130" s="11">
        <f>VLOOKUP(Sales_Raw!$E130,ProductsMasterTable[#All],6,FALSE)</f>
        <v>235.12</v>
      </c>
      <c r="U130" s="11" t="str">
        <f>VLOOKUP(Sales_Raw!$E130,ProductsMasterTable[#All],7,FALSE)</f>
        <v>Kongu Distributors</v>
      </c>
      <c r="V130" s="11" t="str">
        <f>IFERROR(VLOOKUP(Sales_Raw!$D130,CustomersMasterTable[#All],2,FALSE),"Guest")</f>
        <v>Divya Devi</v>
      </c>
      <c r="W130" s="11" t="str">
        <f>IFERROR(VLOOKUP(Sales_Raw!$D130,CustomersMasterTable[#All],3,FALSE),"Guest")</f>
        <v>Female</v>
      </c>
      <c r="X130" s="11">
        <f>IFERROR(VLOOKUP(Sales_Raw!$D130,CustomersMasterTable[#All],4,FALSE),"Guest")</f>
        <v>60</v>
      </c>
      <c r="Y130" s="11" t="str">
        <f>IFERROR(VLOOKUP(Sales_Raw!$D130,CustomersMasterTable[#All],5,FALSE),"Guest")</f>
        <v>Karur</v>
      </c>
      <c r="Z130" s="11" t="str">
        <f>IFERROR(VLOOKUP(Sales_Raw!$D130,CustomersMasterTable[#All],6,FALSE),"Guest")</f>
        <v>Silver</v>
      </c>
      <c r="AA130" s="17">
        <f>IFERROR(VLOOKUP(Sales_Raw!$D130,CustomersMasterTable[#All],7,FALSE),"Guest")</f>
        <v>45931</v>
      </c>
      <c r="AB130" s="23">
        <f>Master_Data[[#This Row],[Qty]]*Master_Data[[#This Row],[Unit_Price]]</f>
        <v>669.96</v>
      </c>
      <c r="AC130" s="23">
        <f>Master_Data[[#This Row],[Gross_ Sales]]*(1-Master_Data[[#This Row],[Discount Percentage]])</f>
        <v>669.96</v>
      </c>
      <c r="AD130" s="23">
        <f>Master_Data[[#This Row],[Net_Sales]]-(Master_Data[[#This Row],[Qty]]*Master_Data[[#This Row],[Cost_Price]])</f>
        <v>74.220000000000027</v>
      </c>
    </row>
    <row r="131" spans="1:30" ht="29.25">
      <c r="A131" s="13" t="s">
        <v>285</v>
      </c>
      <c r="B131" s="28">
        <f>DATEVALUE(Master_Data[[#This Row],[Sale_Date]])</f>
        <v>46238</v>
      </c>
      <c r="C131" s="13" t="s">
        <v>278</v>
      </c>
      <c r="D131" s="13" t="s">
        <v>83</v>
      </c>
      <c r="E131" s="13" t="str">
        <f>UPPER(TRIM(Sales_Raw!$F131))</f>
        <v>P1021</v>
      </c>
      <c r="F131" s="13" t="s">
        <v>63</v>
      </c>
      <c r="G131" s="13">
        <v>6</v>
      </c>
      <c r="H131" s="14">
        <v>56.17</v>
      </c>
      <c r="I131" s="15">
        <v>0</v>
      </c>
      <c r="J131" s="13" t="str">
        <f>UPPER(TRIM(Sales_Raw!$K131))</f>
        <v>UPI</v>
      </c>
      <c r="K131" s="13" t="s">
        <v>22</v>
      </c>
      <c r="L131" s="13" t="str">
        <f>PROPER(TRIM(Sales_Raw!$M131))</f>
        <v>Suramangalam</v>
      </c>
      <c r="M131" s="13" t="s">
        <v>40</v>
      </c>
      <c r="N131" s="12" t="s">
        <v>35</v>
      </c>
      <c r="O131" s="13" t="s">
        <v>65</v>
      </c>
      <c r="P131" s="16" t="str">
        <f>VLOOKUP(Sales_Raw!$E131,ProductsMasterTable[#All],2,FALSE)</f>
        <v>Coffee 200g</v>
      </c>
      <c r="Q131" s="16" t="str">
        <f>VLOOKUP(Sales_Raw!$E131,ProductsMasterTable[#All],3,FALSE)</f>
        <v>Beverages</v>
      </c>
      <c r="R131" s="16" t="str">
        <f>VLOOKUP(Sales_Raw!$E131,ProductsMasterTable[#All],4,FALSE)</f>
        <v>Surf</v>
      </c>
      <c r="S131" s="16">
        <f>VLOOKUP(Sales_Raw!$E131,ProductsMasterTable[#All],5,FALSE)</f>
        <v>44.61</v>
      </c>
      <c r="T131" s="16">
        <f>VLOOKUP(Sales_Raw!$E131,ProductsMasterTable[#All],6,FALSE)</f>
        <v>59.33</v>
      </c>
      <c r="U131" s="16" t="str">
        <f>VLOOKUP(Sales_Raw!$E131,ProductsMasterTable[#All],7,FALSE)</f>
        <v>Metro Supply Co</v>
      </c>
      <c r="V131" s="16" t="str">
        <f>IFERROR(VLOOKUP(Sales_Raw!$D131,CustomersMasterTable[#All],2,FALSE),"Guest")</f>
        <v>Anitha M</v>
      </c>
      <c r="W131" s="16" t="str">
        <f>IFERROR(VLOOKUP(Sales_Raw!$D131,CustomersMasterTable[#All],3,FALSE),"Guest")</f>
        <v>Female</v>
      </c>
      <c r="X131" s="16">
        <f>IFERROR(VLOOKUP(Sales_Raw!$D131,CustomersMasterTable[#All],4,FALSE),"Guest")</f>
        <v>68</v>
      </c>
      <c r="Y131" s="16" t="str">
        <f>IFERROR(VLOOKUP(Sales_Raw!$D131,CustomersMasterTable[#All],5,FALSE),"Guest")</f>
        <v>Dharmapuri</v>
      </c>
      <c r="Z131" s="16" t="str">
        <f>IFERROR(VLOOKUP(Sales_Raw!$D131,CustomersMasterTable[#All],6,FALSE),"Guest")</f>
        <v>Silver</v>
      </c>
      <c r="AA131" s="18">
        <f>IFERROR(VLOOKUP(Sales_Raw!$D131,CustomersMasterTable[#All],7,FALSE),"Guest")</f>
        <v>45987</v>
      </c>
      <c r="AB131" s="23">
        <f>Master_Data[[#This Row],[Qty]]*Master_Data[[#This Row],[Unit_Price]]</f>
        <v>337.02</v>
      </c>
      <c r="AC131" s="23">
        <f>Master_Data[[#This Row],[Gross_ Sales]]*(1-Master_Data[[#This Row],[Discount Percentage]])</f>
        <v>337.02</v>
      </c>
      <c r="AD131" s="23">
        <f>Master_Data[[#This Row],[Net_Sales]]-(Master_Data[[#This Row],[Qty]]*Master_Data[[#This Row],[Cost_Price]])</f>
        <v>69.360000000000014</v>
      </c>
    </row>
    <row r="132" spans="1:30" ht="15">
      <c r="A132" s="8" t="s">
        <v>286</v>
      </c>
      <c r="B132" s="27">
        <f>DATEVALUE(Master_Data[[#This Row],[Sale_Date]])</f>
        <v>46253</v>
      </c>
      <c r="C132" s="8" t="s">
        <v>199</v>
      </c>
      <c r="D132" s="8" t="s">
        <v>231</v>
      </c>
      <c r="E132" s="8" t="str">
        <f>UPPER(TRIM(Sales_Raw!$F132))</f>
        <v>P1024</v>
      </c>
      <c r="F132" s="8" t="s">
        <v>207</v>
      </c>
      <c r="G132" s="8">
        <v>6</v>
      </c>
      <c r="H132" s="9">
        <v>154.63999999999999</v>
      </c>
      <c r="I132" s="10">
        <v>0.1</v>
      </c>
      <c r="J132" s="8" t="str">
        <f>UPPER(TRIM(Sales_Raw!$K132))</f>
        <v>UPI</v>
      </c>
      <c r="K132" s="8" t="s">
        <v>22</v>
      </c>
      <c r="L132" s="8" t="str">
        <f>PROPER(TRIM(Sales_Raw!$M132))</f>
        <v>Hasthampatti</v>
      </c>
      <c r="M132" s="8" t="s">
        <v>23</v>
      </c>
      <c r="N132" s="7" t="s">
        <v>53</v>
      </c>
      <c r="O132" s="8" t="s">
        <v>80</v>
      </c>
      <c r="P132" s="11" t="str">
        <f>VLOOKUP(Sales_Raw!$E132,ProductsMasterTable[#All],2,FALSE)</f>
        <v>Toothpaste 150g</v>
      </c>
      <c r="Q132" s="11" t="str">
        <f>VLOOKUP(Sales_Raw!$E132,ProductsMasterTable[#All],3,FALSE)</f>
        <v>Personal Care</v>
      </c>
      <c r="R132" s="11" t="str">
        <f>VLOOKUP(Sales_Raw!$E132,ProductsMasterTable[#All],4,FALSE)</f>
        <v>Surf</v>
      </c>
      <c r="S132" s="11">
        <f>VLOOKUP(Sales_Raw!$E132,ProductsMasterTable[#All],5,FALSE)</f>
        <v>123.62</v>
      </c>
      <c r="T132" s="11">
        <f>VLOOKUP(Sales_Raw!$E132,ProductsMasterTable[#All],6,FALSE)</f>
        <v>155.08000000000001</v>
      </c>
      <c r="U132" s="11" t="str">
        <f>VLOOKUP(Sales_Raw!$E132,ProductsMasterTable[#All],7,FALSE)</f>
        <v>FreshLine Traders</v>
      </c>
      <c r="V132" s="11" t="str">
        <f>IFERROR(VLOOKUP(Sales_Raw!$D132,CustomersMasterTable[#All],2,FALSE),"Guest")</f>
        <v>Priya Kumar</v>
      </c>
      <c r="W132" s="11" t="str">
        <f>IFERROR(VLOOKUP(Sales_Raw!$D132,CustomersMasterTable[#All],3,FALSE),"Guest")</f>
        <v>Male</v>
      </c>
      <c r="X132" s="11">
        <f>IFERROR(VLOOKUP(Sales_Raw!$D132,CustomersMasterTable[#All],4,FALSE),"Guest")</f>
        <v>23</v>
      </c>
      <c r="Y132" s="11" t="str">
        <f>IFERROR(VLOOKUP(Sales_Raw!$D132,CustomersMasterTable[#All],5,FALSE),"Guest")</f>
        <v>Erode</v>
      </c>
      <c r="Z132" s="11" t="str">
        <f>IFERROR(VLOOKUP(Sales_Raw!$D132,CustomersMasterTable[#All],6,FALSE),"Guest")</f>
        <v>Regular</v>
      </c>
      <c r="AA132" s="17">
        <f>IFERROR(VLOOKUP(Sales_Raw!$D132,CustomersMasterTable[#All],7,FALSE),"Guest")</f>
        <v>46155</v>
      </c>
      <c r="AB132" s="23">
        <f>Master_Data[[#This Row],[Qty]]*Master_Data[[#This Row],[Unit_Price]]</f>
        <v>927.83999999999992</v>
      </c>
      <c r="AC132" s="23">
        <f>Master_Data[[#This Row],[Gross_ Sales]]*(1-Master_Data[[#This Row],[Discount Percentage]])</f>
        <v>835.05599999999993</v>
      </c>
      <c r="AD132" s="23">
        <f>Master_Data[[#This Row],[Net_Sales]]-(Master_Data[[#This Row],[Qty]]*Master_Data[[#This Row],[Cost_Price]])</f>
        <v>93.335999999999899</v>
      </c>
    </row>
    <row r="133" spans="1:30" ht="15">
      <c r="A133" s="13" t="s">
        <v>287</v>
      </c>
      <c r="B133" s="28">
        <f>DATEVALUE(Master_Data[[#This Row],[Sale_Date]])</f>
        <v>46244</v>
      </c>
      <c r="C133" s="13" t="s">
        <v>67</v>
      </c>
      <c r="D133" s="13" t="s">
        <v>209</v>
      </c>
      <c r="E133" s="13" t="str">
        <f>UPPER(TRIM(Sales_Raw!$F133))</f>
        <v>P1012</v>
      </c>
      <c r="F133" s="13" t="s">
        <v>260</v>
      </c>
      <c r="G133" s="13">
        <v>3</v>
      </c>
      <c r="H133" s="14">
        <v>442.43</v>
      </c>
      <c r="I133" s="15">
        <v>0.15</v>
      </c>
      <c r="J133" s="13" t="str">
        <f>UPPER(TRIM(Sales_Raw!$K133))</f>
        <v>CARD</v>
      </c>
      <c r="K133" s="13" t="s">
        <v>34</v>
      </c>
      <c r="L133" s="13" t="str">
        <f>PROPER(TRIM(Sales_Raw!$M133))</f>
        <v>Hasthampatti</v>
      </c>
      <c r="M133" s="13" t="s">
        <v>23</v>
      </c>
      <c r="N133" s="12" t="s">
        <v>24</v>
      </c>
      <c r="O133" s="13" t="s">
        <v>25</v>
      </c>
      <c r="P133" s="16" t="str">
        <f>VLOOKUP(Sales_Raw!$E133,ProductsMasterTable[#All],2,FALSE)</f>
        <v>Potato Chips</v>
      </c>
      <c r="Q133" s="16" t="str">
        <f>VLOOKUP(Sales_Raw!$E133,ProductsMasterTable[#All],3,FALSE)</f>
        <v>Snacks</v>
      </c>
      <c r="R133" s="16" t="str">
        <f>VLOOKUP(Sales_Raw!$E133,ProductsMasterTable[#All],4,FALSE)</f>
        <v>HUL</v>
      </c>
      <c r="S133" s="16">
        <f>VLOOKUP(Sales_Raw!$E133,ProductsMasterTable[#All],5,FALSE)</f>
        <v>351.42</v>
      </c>
      <c r="T133" s="16">
        <f>VLOOKUP(Sales_Raw!$E133,ProductsMasterTable[#All],6,FALSE)</f>
        <v>443.58</v>
      </c>
      <c r="U133" s="16" t="str">
        <f>VLOOKUP(Sales_Raw!$E133,ProductsMasterTable[#All],7,FALSE)</f>
        <v>Sri Ganesh Agencies</v>
      </c>
      <c r="V133" s="16" t="str">
        <f>IFERROR(VLOOKUP(Sales_Raw!$D133,CustomersMasterTable[#All],2,FALSE),"Guest")</f>
        <v>Karthik Shree</v>
      </c>
      <c r="W133" s="16" t="str">
        <f>IFERROR(VLOOKUP(Sales_Raw!$D133,CustomersMasterTable[#All],3,FALSE),"Guest")</f>
        <v>Female</v>
      </c>
      <c r="X133" s="16">
        <f>IFERROR(VLOOKUP(Sales_Raw!$D133,CustomersMasterTable[#All],4,FALSE),"Guest")</f>
        <v>53</v>
      </c>
      <c r="Y133" s="16" t="str">
        <f>IFERROR(VLOOKUP(Sales_Raw!$D133,CustomersMasterTable[#All],5,FALSE),"Guest")</f>
        <v>Coimbatore</v>
      </c>
      <c r="Z133" s="16" t="str">
        <f>IFERROR(VLOOKUP(Sales_Raw!$D133,CustomersMasterTable[#All],6,FALSE),"Guest")</f>
        <v>Gold</v>
      </c>
      <c r="AA133" s="18">
        <f>IFERROR(VLOOKUP(Sales_Raw!$D133,CustomersMasterTable[#All],7,FALSE),"Guest")</f>
        <v>46144</v>
      </c>
      <c r="AB133" s="23">
        <f>Master_Data[[#This Row],[Qty]]*Master_Data[[#This Row],[Unit_Price]]</f>
        <v>1327.29</v>
      </c>
      <c r="AC133" s="23">
        <f>Master_Data[[#This Row],[Gross_ Sales]]*(1-Master_Data[[#This Row],[Discount Percentage]])</f>
        <v>1128.1965</v>
      </c>
      <c r="AD133" s="23">
        <f>Master_Data[[#This Row],[Net_Sales]]-(Master_Data[[#This Row],[Qty]]*Master_Data[[#This Row],[Cost_Price]])</f>
        <v>73.936500000000024</v>
      </c>
    </row>
    <row r="134" spans="1:30" ht="29.25">
      <c r="A134" s="8" t="s">
        <v>288</v>
      </c>
      <c r="B134" s="27">
        <f>DATEVALUE(Master_Data[[#This Row],[Sale_Date]])</f>
        <v>46240</v>
      </c>
      <c r="C134" s="8" t="s">
        <v>182</v>
      </c>
      <c r="D134" s="8" t="s">
        <v>205</v>
      </c>
      <c r="E134" s="8" t="str">
        <f>UPPER(TRIM(Sales_Raw!$F134))</f>
        <v>P1018</v>
      </c>
      <c r="F134" s="8" t="s">
        <v>111</v>
      </c>
      <c r="G134" s="8">
        <v>4</v>
      </c>
      <c r="H134" s="9">
        <v>234.07</v>
      </c>
      <c r="I134" s="10">
        <v>0</v>
      </c>
      <c r="J134" s="8" t="str">
        <f>UPPER(TRIM(Sales_Raw!$K134))</f>
        <v>UPI</v>
      </c>
      <c r="K134" s="8" t="s">
        <v>22</v>
      </c>
      <c r="L134" s="8" t="str">
        <f>PROPER(TRIM(Sales_Raw!$M134))</f>
        <v>Suramangalam</v>
      </c>
      <c r="M134" s="8" t="s">
        <v>40</v>
      </c>
      <c r="N134" s="7" t="s">
        <v>41</v>
      </c>
      <c r="O134" s="8" t="s">
        <v>65</v>
      </c>
      <c r="P134" s="11" t="str">
        <f>VLOOKUP(Sales_Raw!$E134,ProductsMasterTable[#All],2,FALSE)</f>
        <v>Orange Juice 1L</v>
      </c>
      <c r="Q134" s="11" t="str">
        <f>VLOOKUP(Sales_Raw!$E134,ProductsMasterTable[#All],3,FALSE)</f>
        <v>Beverages</v>
      </c>
      <c r="R134" s="11" t="str">
        <f>VLOOKUP(Sales_Raw!$E134,ProductsMasterTable[#All],4,FALSE)</f>
        <v>Cavin's</v>
      </c>
      <c r="S134" s="11">
        <f>VLOOKUP(Sales_Raw!$E134,ProductsMasterTable[#All],5,FALSE)</f>
        <v>203.83</v>
      </c>
      <c r="T134" s="11">
        <f>VLOOKUP(Sales_Raw!$E134,ProductsMasterTable[#All],6,FALSE)</f>
        <v>240.94</v>
      </c>
      <c r="U134" s="11" t="str">
        <f>VLOOKUP(Sales_Raw!$E134,ProductsMasterTable[#All],7,FALSE)</f>
        <v>Kongu Distributors</v>
      </c>
      <c r="V134" s="11" t="str">
        <f>IFERROR(VLOOKUP(Sales_Raw!$D134,CustomersMasterTable[#All],2,FALSE),"Guest")</f>
        <v>Nithya S</v>
      </c>
      <c r="W134" s="11" t="str">
        <f>IFERROR(VLOOKUP(Sales_Raw!$D134,CustomersMasterTable[#All],3,FALSE),"Guest")</f>
        <v>Male</v>
      </c>
      <c r="X134" s="11">
        <f>IFERROR(VLOOKUP(Sales_Raw!$D134,CustomersMasterTable[#All],4,FALSE),"Guest")</f>
        <v>36</v>
      </c>
      <c r="Y134" s="11" t="str">
        <f>IFERROR(VLOOKUP(Sales_Raw!$D134,CustomersMasterTable[#All],5,FALSE),"Guest")</f>
        <v>Erode</v>
      </c>
      <c r="Z134" s="11" t="str">
        <f>IFERROR(VLOOKUP(Sales_Raw!$D134,CustomersMasterTable[#All],6,FALSE),"Guest")</f>
        <v>Gold</v>
      </c>
      <c r="AA134" s="17">
        <f>IFERROR(VLOOKUP(Sales_Raw!$D134,CustomersMasterTable[#All],7,FALSE),"Guest")</f>
        <v>46251</v>
      </c>
      <c r="AB134" s="23">
        <f>Master_Data[[#This Row],[Qty]]*Master_Data[[#This Row],[Unit_Price]]</f>
        <v>936.28</v>
      </c>
      <c r="AC134" s="23">
        <f>Master_Data[[#This Row],[Gross_ Sales]]*(1-Master_Data[[#This Row],[Discount Percentage]])</f>
        <v>936.28</v>
      </c>
      <c r="AD134" s="23">
        <f>Master_Data[[#This Row],[Net_Sales]]-(Master_Data[[#This Row],[Qty]]*Master_Data[[#This Row],[Cost_Price]])</f>
        <v>120.95999999999992</v>
      </c>
    </row>
    <row r="135" spans="1:30" ht="15">
      <c r="A135" s="13" t="s">
        <v>289</v>
      </c>
      <c r="B135" s="28">
        <f>DATEVALUE(Master_Data[[#This Row],[Sale_Date]])</f>
        <v>46240</v>
      </c>
      <c r="C135" s="13" t="s">
        <v>182</v>
      </c>
      <c r="D135" s="13" t="s">
        <v>87</v>
      </c>
      <c r="E135" s="13" t="str">
        <f>UPPER(TRIM(Sales_Raw!$F135))</f>
        <v>P1022</v>
      </c>
      <c r="F135" s="13" t="s">
        <v>140</v>
      </c>
      <c r="G135" s="13">
        <v>4</v>
      </c>
      <c r="H135" s="14">
        <v>122.76</v>
      </c>
      <c r="I135" s="15">
        <v>0</v>
      </c>
      <c r="J135" s="13" t="str">
        <f>UPPER(TRIM(Sales_Raw!$K135))</f>
        <v>CASH</v>
      </c>
      <c r="K135" s="13" t="s">
        <v>14</v>
      </c>
      <c r="L135" s="13" t="str">
        <f>PROPER(TRIM(Sales_Raw!$M135))</f>
        <v>Hasthampatti</v>
      </c>
      <c r="M135" s="13" t="s">
        <v>23</v>
      </c>
      <c r="N135" s="12" t="s">
        <v>24</v>
      </c>
      <c r="O135" s="13" t="s">
        <v>80</v>
      </c>
      <c r="P135" s="16" t="str">
        <f>VLOOKUP(Sales_Raw!$E135,ProductsMasterTable[#All],2,FALSE)</f>
        <v>Bath Soap</v>
      </c>
      <c r="Q135" s="16" t="str">
        <f>VLOOKUP(Sales_Raw!$E135,ProductsMasterTable[#All],3,FALSE)</f>
        <v>Personal Care</v>
      </c>
      <c r="R135" s="16" t="str">
        <f>VLOOKUP(Sales_Raw!$E135,ProductsMasterTable[#All],4,FALSE)</f>
        <v>LocalFresh</v>
      </c>
      <c r="S135" s="16">
        <f>VLOOKUP(Sales_Raw!$E135,ProductsMasterTable[#All],5,FALSE)</f>
        <v>103.48</v>
      </c>
      <c r="T135" s="16">
        <f>VLOOKUP(Sales_Raw!$E135,ProductsMasterTable[#All],6,FALSE)</f>
        <v>127.78</v>
      </c>
      <c r="U135" s="16" t="str">
        <f>VLOOKUP(Sales_Raw!$E135,ProductsMasterTable[#All],7,FALSE)</f>
        <v>Kongu Distributors</v>
      </c>
      <c r="V135" s="16" t="str">
        <f>IFERROR(VLOOKUP(Sales_Raw!$D135,CustomersMasterTable[#All],2,FALSE),"Guest")</f>
        <v>Deepa Raj</v>
      </c>
      <c r="W135" s="16" t="str">
        <f>IFERROR(VLOOKUP(Sales_Raw!$D135,CustomersMasterTable[#All],3,FALSE),"Guest")</f>
        <v>Male</v>
      </c>
      <c r="X135" s="16">
        <f>IFERROR(VLOOKUP(Sales_Raw!$D135,CustomersMasterTable[#All],4,FALSE),"Guest")</f>
        <v>32</v>
      </c>
      <c r="Y135" s="16" t="str">
        <f>IFERROR(VLOOKUP(Sales_Raw!$D135,CustomersMasterTable[#All],5,FALSE),"Guest")</f>
        <v>Salem</v>
      </c>
      <c r="Z135" s="16" t="str">
        <f>IFERROR(VLOOKUP(Sales_Raw!$D135,CustomersMasterTable[#All],6,FALSE),"Guest")</f>
        <v>Silver</v>
      </c>
      <c r="AA135" s="18">
        <f>IFERROR(VLOOKUP(Sales_Raw!$D135,CustomersMasterTable[#All],7,FALSE),"Guest")</f>
        <v>46066</v>
      </c>
      <c r="AB135" s="23">
        <f>Master_Data[[#This Row],[Qty]]*Master_Data[[#This Row],[Unit_Price]]</f>
        <v>491.04</v>
      </c>
      <c r="AC135" s="23">
        <f>Master_Data[[#This Row],[Gross_ Sales]]*(1-Master_Data[[#This Row],[Discount Percentage]])</f>
        <v>491.04</v>
      </c>
      <c r="AD135" s="23">
        <f>Master_Data[[#This Row],[Net_Sales]]-(Master_Data[[#This Row],[Qty]]*Master_Data[[#This Row],[Cost_Price]])</f>
        <v>77.12</v>
      </c>
    </row>
    <row r="136" spans="1:30" ht="15">
      <c r="A136" s="8" t="s">
        <v>290</v>
      </c>
      <c r="B136" s="27">
        <f>DATEVALUE(Master_Data[[#This Row],[Sale_Date]])</f>
        <v>46248</v>
      </c>
      <c r="C136" s="8" t="s">
        <v>27</v>
      </c>
      <c r="D136" s="8" t="s">
        <v>99</v>
      </c>
      <c r="E136" s="8" t="str">
        <f>UPPER(TRIM(Sales_Raw!$F136))</f>
        <v>P1025</v>
      </c>
      <c r="F136" s="8" t="s">
        <v>154</v>
      </c>
      <c r="G136" s="8">
        <v>4</v>
      </c>
      <c r="H136" s="9">
        <v>206.39</v>
      </c>
      <c r="I136" s="10">
        <v>0</v>
      </c>
      <c r="J136" s="8" t="str">
        <f>UPPER(TRIM(Sales_Raw!$K136))</f>
        <v>UPI</v>
      </c>
      <c r="K136" s="8" t="s">
        <v>22</v>
      </c>
      <c r="L136" s="8" t="str">
        <f>PROPER(TRIM(Sales_Raw!$M136))</f>
        <v>Fairlands</v>
      </c>
      <c r="M136" s="8" t="s">
        <v>15</v>
      </c>
      <c r="N136" s="7" t="s">
        <v>16</v>
      </c>
      <c r="O136" s="8" t="s">
        <v>80</v>
      </c>
      <c r="P136" s="11" t="str">
        <f>VLOOKUP(Sales_Raw!$E136,ProductsMasterTable[#All],2,FALSE)</f>
        <v>Handwash 250ml</v>
      </c>
      <c r="Q136" s="11" t="str">
        <f>VLOOKUP(Sales_Raw!$E136,ProductsMasterTable[#All],3,FALSE)</f>
        <v>Personal Care</v>
      </c>
      <c r="R136" s="11" t="str">
        <f>VLOOKUP(Sales_Raw!$E136,ProductsMasterTable[#All],4,FALSE)</f>
        <v>Britannia</v>
      </c>
      <c r="S136" s="11">
        <f>VLOOKUP(Sales_Raw!$E136,ProductsMasterTable[#All],5,FALSE)</f>
        <v>163.52000000000001</v>
      </c>
      <c r="T136" s="11">
        <f>VLOOKUP(Sales_Raw!$E136,ProductsMasterTable[#All],6,FALSE)</f>
        <v>220.65</v>
      </c>
      <c r="U136" s="11" t="str">
        <f>VLOOKUP(Sales_Raw!$E136,ProductsMasterTable[#All],7,FALSE)</f>
        <v>Sri Ganesh Agencies</v>
      </c>
      <c r="V136" s="11" t="str">
        <f>IFERROR(VLOOKUP(Sales_Raw!$D136,CustomersMasterTable[#All],2,FALSE),"Guest")</f>
        <v>Praveen S</v>
      </c>
      <c r="W136" s="11" t="str">
        <f>IFERROR(VLOOKUP(Sales_Raw!$D136,CustomersMasterTable[#All],3,FALSE),"Guest")</f>
        <v>Male</v>
      </c>
      <c r="X136" s="11">
        <f>IFERROR(VLOOKUP(Sales_Raw!$D136,CustomersMasterTable[#All],4,FALSE),"Guest")</f>
        <v>50</v>
      </c>
      <c r="Y136" s="11" t="str">
        <f>IFERROR(VLOOKUP(Sales_Raw!$D136,CustomersMasterTable[#All],5,FALSE),"Guest")</f>
        <v>Salem</v>
      </c>
      <c r="Z136" s="11" t="str">
        <f>IFERROR(VLOOKUP(Sales_Raw!$D136,CustomersMasterTable[#All],6,FALSE),"Guest")</f>
        <v>Gold</v>
      </c>
      <c r="AA136" s="17">
        <f>IFERROR(VLOOKUP(Sales_Raw!$D136,CustomersMasterTable[#All],7,FALSE),"Guest")</f>
        <v>45728</v>
      </c>
      <c r="AB136" s="23">
        <f>Master_Data[[#This Row],[Qty]]*Master_Data[[#This Row],[Unit_Price]]</f>
        <v>825.56</v>
      </c>
      <c r="AC136" s="23">
        <f>Master_Data[[#This Row],[Gross_ Sales]]*(1-Master_Data[[#This Row],[Discount Percentage]])</f>
        <v>825.56</v>
      </c>
      <c r="AD136" s="23">
        <f>Master_Data[[#This Row],[Net_Sales]]-(Master_Data[[#This Row],[Qty]]*Master_Data[[#This Row],[Cost_Price]])</f>
        <v>171.4799999999999</v>
      </c>
    </row>
    <row r="137" spans="1:30" ht="29.25">
      <c r="A137" s="13" t="s">
        <v>291</v>
      </c>
      <c r="B137" s="28">
        <f>DATEVALUE(Master_Data[[#This Row],[Sale_Date]])</f>
        <v>46241</v>
      </c>
      <c r="C137" s="13" t="s">
        <v>75</v>
      </c>
      <c r="D137" s="13" t="s">
        <v>282</v>
      </c>
      <c r="E137" s="13" t="str">
        <f>UPPER(TRIM(Sales_Raw!$F137))</f>
        <v>P1025</v>
      </c>
      <c r="F137" s="13" t="s">
        <v>154</v>
      </c>
      <c r="G137" s="13">
        <v>5</v>
      </c>
      <c r="H137" s="14">
        <v>217.74</v>
      </c>
      <c r="I137" s="15">
        <v>0.1</v>
      </c>
      <c r="J137" s="13" t="str">
        <f>UPPER(TRIM(Sales_Raw!$K137))</f>
        <v>UPI</v>
      </c>
      <c r="K137" s="13" t="s">
        <v>64</v>
      </c>
      <c r="L137" s="13" t="str">
        <f>PROPER(TRIM(Sales_Raw!$M137))</f>
        <v>Suramangalam</v>
      </c>
      <c r="M137" s="13" t="s">
        <v>40</v>
      </c>
      <c r="N137" s="12" t="s">
        <v>16</v>
      </c>
      <c r="O137" s="13" t="s">
        <v>80</v>
      </c>
      <c r="P137" s="16" t="str">
        <f>VLOOKUP(Sales_Raw!$E137,ProductsMasterTable[#All],2,FALSE)</f>
        <v>Handwash 250ml</v>
      </c>
      <c r="Q137" s="16" t="str">
        <f>VLOOKUP(Sales_Raw!$E137,ProductsMasterTable[#All],3,FALSE)</f>
        <v>Personal Care</v>
      </c>
      <c r="R137" s="16" t="str">
        <f>VLOOKUP(Sales_Raw!$E137,ProductsMasterTable[#All],4,FALSE)</f>
        <v>Britannia</v>
      </c>
      <c r="S137" s="16">
        <f>VLOOKUP(Sales_Raw!$E137,ProductsMasterTable[#All],5,FALSE)</f>
        <v>163.52000000000001</v>
      </c>
      <c r="T137" s="16">
        <f>VLOOKUP(Sales_Raw!$E137,ProductsMasterTable[#All],6,FALSE)</f>
        <v>220.65</v>
      </c>
      <c r="U137" s="16" t="str">
        <f>VLOOKUP(Sales_Raw!$E137,ProductsMasterTable[#All],7,FALSE)</f>
        <v>Sri Ganesh Agencies</v>
      </c>
      <c r="V137" s="16" t="str">
        <f>IFERROR(VLOOKUP(Sales_Raw!$D137,CustomersMasterTable[#All],2,FALSE),"Guest")</f>
        <v>Praveen Babu</v>
      </c>
      <c r="W137" s="16" t="str">
        <f>IFERROR(VLOOKUP(Sales_Raw!$D137,CustomersMasterTable[#All],3,FALSE),"Guest")</f>
        <v>Female</v>
      </c>
      <c r="X137" s="16">
        <f>IFERROR(VLOOKUP(Sales_Raw!$D137,CustomersMasterTable[#All],4,FALSE),"Guest")</f>
        <v>21</v>
      </c>
      <c r="Y137" s="16" t="str">
        <f>IFERROR(VLOOKUP(Sales_Raw!$D137,CustomersMasterTable[#All],5,FALSE),"Guest")</f>
        <v>Salem</v>
      </c>
      <c r="Z137" s="16" t="str">
        <f>IFERROR(VLOOKUP(Sales_Raw!$D137,CustomersMasterTable[#All],6,FALSE),"Guest")</f>
        <v>Silver</v>
      </c>
      <c r="AA137" s="18">
        <f>IFERROR(VLOOKUP(Sales_Raw!$D137,CustomersMasterTable[#All],7,FALSE),"Guest")</f>
        <v>45941</v>
      </c>
      <c r="AB137" s="23">
        <f>Master_Data[[#This Row],[Qty]]*Master_Data[[#This Row],[Unit_Price]]</f>
        <v>1088.7</v>
      </c>
      <c r="AC137" s="23">
        <f>Master_Data[[#This Row],[Gross_ Sales]]*(1-Master_Data[[#This Row],[Discount Percentage]])</f>
        <v>979.83</v>
      </c>
      <c r="AD137" s="23">
        <f>Master_Data[[#This Row],[Net_Sales]]-(Master_Data[[#This Row],[Qty]]*Master_Data[[#This Row],[Cost_Price]])</f>
        <v>162.23000000000002</v>
      </c>
    </row>
    <row r="138" spans="1:30" ht="15">
      <c r="A138" s="8" t="s">
        <v>292</v>
      </c>
      <c r="B138" s="27">
        <f>DATEVALUE(Master_Data[[#This Row],[Sale_Date]])</f>
        <v>46243</v>
      </c>
      <c r="C138" s="8" t="s">
        <v>123</v>
      </c>
      <c r="D138" s="8" t="s">
        <v>293</v>
      </c>
      <c r="E138" s="8" t="str">
        <f>UPPER(TRIM(Sales_Raw!$F138))</f>
        <v>P1013</v>
      </c>
      <c r="F138" s="8" t="s">
        <v>176</v>
      </c>
      <c r="G138" s="8">
        <v>2</v>
      </c>
      <c r="H138" s="9">
        <v>101</v>
      </c>
      <c r="I138" s="10">
        <v>0.15</v>
      </c>
      <c r="J138" s="8" t="str">
        <f>UPPER(TRIM(Sales_Raw!$K138))</f>
        <v>CARD</v>
      </c>
      <c r="K138" s="8" t="s">
        <v>34</v>
      </c>
      <c r="L138" s="8" t="str">
        <f>PROPER(TRIM(Sales_Raw!$M138))</f>
        <v>Fairlands</v>
      </c>
      <c r="M138" s="8" t="s">
        <v>15</v>
      </c>
      <c r="N138" s="7" t="s">
        <v>35</v>
      </c>
      <c r="O138" s="8" t="s">
        <v>30</v>
      </c>
      <c r="P138" s="11" t="str">
        <f>VLOOKUP(Sales_Raw!$E138,ProductsMasterTable[#All],2,FALSE)</f>
        <v>Banana Chips</v>
      </c>
      <c r="Q138" s="11" t="str">
        <f>VLOOKUP(Sales_Raw!$E138,ProductsMasterTable[#All],3,FALSE)</f>
        <v>Snacks</v>
      </c>
      <c r="R138" s="11" t="str">
        <f>VLOOKUP(Sales_Raw!$E138,ProductsMasterTable[#All],4,FALSE)</f>
        <v>Tata</v>
      </c>
      <c r="S138" s="11">
        <f>VLOOKUP(Sales_Raw!$E138,ProductsMasterTable[#All],5,FALSE)</f>
        <v>95.3</v>
      </c>
      <c r="T138" s="11">
        <f>VLOOKUP(Sales_Raw!$E138,ProductsMasterTable[#All],6,FALSE)</f>
        <v>108.26</v>
      </c>
      <c r="U138" s="11" t="str">
        <f>VLOOKUP(Sales_Raw!$E138,ProductsMasterTable[#All],7,FALSE)</f>
        <v>Metro Supply Co</v>
      </c>
      <c r="V138" s="11" t="str">
        <f>IFERROR(VLOOKUP(Sales_Raw!$D138,CustomersMasterTable[#All],2,FALSE),"Guest")</f>
        <v>Janani S</v>
      </c>
      <c r="W138" s="11" t="str">
        <f>IFERROR(VLOOKUP(Sales_Raw!$D138,CustomersMasterTable[#All],3,FALSE),"Guest")</f>
        <v>Male</v>
      </c>
      <c r="X138" s="11">
        <f>IFERROR(VLOOKUP(Sales_Raw!$D138,CustomersMasterTable[#All],4,FALSE),"Guest")</f>
        <v>28</v>
      </c>
      <c r="Y138" s="11" t="str">
        <f>IFERROR(VLOOKUP(Sales_Raw!$D138,CustomersMasterTable[#All],5,FALSE),"Guest")</f>
        <v>Erode</v>
      </c>
      <c r="Z138" s="11" t="str">
        <f>IFERROR(VLOOKUP(Sales_Raw!$D138,CustomersMasterTable[#All],6,FALSE),"Guest")</f>
        <v>Gold</v>
      </c>
      <c r="AA138" s="17">
        <f>IFERROR(VLOOKUP(Sales_Raw!$D138,CustomersMasterTable[#All],7,FALSE),"Guest")</f>
        <v>45683</v>
      </c>
      <c r="AB138" s="23">
        <f>Master_Data[[#This Row],[Qty]]*Master_Data[[#This Row],[Unit_Price]]</f>
        <v>202</v>
      </c>
      <c r="AC138" s="23">
        <f>Master_Data[[#This Row],[Gross_ Sales]]*(1-Master_Data[[#This Row],[Discount Percentage]])</f>
        <v>171.7</v>
      </c>
      <c r="AD138" s="23">
        <f>Master_Data[[#This Row],[Net_Sales]]-(Master_Data[[#This Row],[Qty]]*Master_Data[[#This Row],[Cost_Price]])</f>
        <v>-18.900000000000006</v>
      </c>
    </row>
    <row r="139" spans="1:30" ht="15">
      <c r="A139" s="13" t="s">
        <v>294</v>
      </c>
      <c r="B139" s="28">
        <f>DATEVALUE(Master_Data[[#This Row],[Sale_Date]])</f>
        <v>46237</v>
      </c>
      <c r="C139" s="13" t="s">
        <v>204</v>
      </c>
      <c r="D139" s="13" t="s">
        <v>189</v>
      </c>
      <c r="E139" s="13" t="str">
        <f>UPPER(TRIM(Sales_Raw!$F139))</f>
        <v>P1012</v>
      </c>
      <c r="F139" s="13" t="s">
        <v>260</v>
      </c>
      <c r="G139" s="13">
        <v>6</v>
      </c>
      <c r="H139" s="14">
        <v>433.63</v>
      </c>
      <c r="I139" s="15">
        <v>0.05</v>
      </c>
      <c r="J139" s="13" t="str">
        <f>UPPER(TRIM(Sales_Raw!$K139))</f>
        <v>CARD</v>
      </c>
      <c r="K139" s="13" t="s">
        <v>34</v>
      </c>
      <c r="L139" s="13" t="str">
        <f>PROPER(TRIM(Sales_Raw!$M139))</f>
        <v>Hasthampatti</v>
      </c>
      <c r="M139" s="13" t="s">
        <v>23</v>
      </c>
      <c r="N139" s="12" t="s">
        <v>35</v>
      </c>
      <c r="O139" s="13" t="s">
        <v>30</v>
      </c>
      <c r="P139" s="16" t="str">
        <f>VLOOKUP(Sales_Raw!$E139,ProductsMasterTable[#All],2,FALSE)</f>
        <v>Potato Chips</v>
      </c>
      <c r="Q139" s="16" t="str">
        <f>VLOOKUP(Sales_Raw!$E139,ProductsMasterTable[#All],3,FALSE)</f>
        <v>Snacks</v>
      </c>
      <c r="R139" s="16" t="str">
        <f>VLOOKUP(Sales_Raw!$E139,ProductsMasterTable[#All],4,FALSE)</f>
        <v>HUL</v>
      </c>
      <c r="S139" s="16">
        <f>VLOOKUP(Sales_Raw!$E139,ProductsMasterTable[#All],5,FALSE)</f>
        <v>351.42</v>
      </c>
      <c r="T139" s="16">
        <f>VLOOKUP(Sales_Raw!$E139,ProductsMasterTable[#All],6,FALSE)</f>
        <v>443.58</v>
      </c>
      <c r="U139" s="16" t="str">
        <f>VLOOKUP(Sales_Raw!$E139,ProductsMasterTable[#All],7,FALSE)</f>
        <v>Sri Ganesh Agencies</v>
      </c>
      <c r="V139" s="16" t="str">
        <f>IFERROR(VLOOKUP(Sales_Raw!$D139,CustomersMasterTable[#All],2,FALSE),"Guest")</f>
        <v>Harish R</v>
      </c>
      <c r="W139" s="16" t="str">
        <f>IFERROR(VLOOKUP(Sales_Raw!$D139,CustomersMasterTable[#All],3,FALSE),"Guest")</f>
        <v>Male</v>
      </c>
      <c r="X139" s="16">
        <f>IFERROR(VLOOKUP(Sales_Raw!$D139,CustomersMasterTable[#All],4,FALSE),"Guest")</f>
        <v>47</v>
      </c>
      <c r="Y139" s="16" t="str">
        <f>IFERROR(VLOOKUP(Sales_Raw!$D139,CustomersMasterTable[#All],5,FALSE),"Guest")</f>
        <v>Dharmapuri</v>
      </c>
      <c r="Z139" s="16" t="str">
        <f>IFERROR(VLOOKUP(Sales_Raw!$D139,CustomersMasterTable[#All],6,FALSE),"Guest")</f>
        <v>Gold</v>
      </c>
      <c r="AA139" s="18">
        <f>IFERROR(VLOOKUP(Sales_Raw!$D139,CustomersMasterTable[#All],7,FALSE),"Guest")</f>
        <v>45760</v>
      </c>
      <c r="AB139" s="23">
        <f>Master_Data[[#This Row],[Qty]]*Master_Data[[#This Row],[Unit_Price]]</f>
        <v>2601.7799999999997</v>
      </c>
      <c r="AC139" s="23">
        <f>Master_Data[[#This Row],[Gross_ Sales]]*(1-Master_Data[[#This Row],[Discount Percentage]])</f>
        <v>2471.6909999999998</v>
      </c>
      <c r="AD139" s="23">
        <f>Master_Data[[#This Row],[Net_Sales]]-(Master_Data[[#This Row],[Qty]]*Master_Data[[#This Row],[Cost_Price]])</f>
        <v>363.17099999999982</v>
      </c>
    </row>
    <row r="140" spans="1:30" ht="15">
      <c r="A140" s="8" t="s">
        <v>295</v>
      </c>
      <c r="B140" s="27">
        <f>DATEVALUE(Master_Data[[#This Row],[Sale_Date]])</f>
        <v>46249</v>
      </c>
      <c r="C140" s="8" t="s">
        <v>43</v>
      </c>
      <c r="D140" s="8" t="s">
        <v>296</v>
      </c>
      <c r="E140" s="8" t="str">
        <f>UPPER(TRIM(Sales_Raw!$F140))</f>
        <v>P1008</v>
      </c>
      <c r="F140" s="8" t="s">
        <v>13</v>
      </c>
      <c r="G140" s="8">
        <v>3</v>
      </c>
      <c r="H140" s="9">
        <v>480.99</v>
      </c>
      <c r="I140" s="10">
        <v>0.05</v>
      </c>
      <c r="J140" s="8" t="str">
        <f>UPPER(TRIM(Sales_Raw!$K140))</f>
        <v>UPI</v>
      </c>
      <c r="K140" s="8" t="s">
        <v>22</v>
      </c>
      <c r="L140" s="8" t="str">
        <f>PROPER(TRIM(Sales_Raw!$M140))</f>
        <v>Hasthampatti</v>
      </c>
      <c r="M140" s="8" t="s">
        <v>23</v>
      </c>
      <c r="N140" s="7" t="s">
        <v>41</v>
      </c>
      <c r="O140" s="8" t="s">
        <v>17</v>
      </c>
      <c r="P140" s="11" t="str">
        <f>VLOOKUP(Sales_Raw!$E140,ProductsMasterTable[#All],2,FALSE)</f>
        <v>Curd 500g</v>
      </c>
      <c r="Q140" s="11" t="str">
        <f>VLOOKUP(Sales_Raw!$E140,ProductsMasterTable[#All],3,FALSE)</f>
        <v>Dairy</v>
      </c>
      <c r="R140" s="11" t="str">
        <f>VLOOKUP(Sales_Raw!$E140,ProductsMasterTable[#All],4,FALSE)</f>
        <v>Aavin</v>
      </c>
      <c r="S140" s="11">
        <f>VLOOKUP(Sales_Raw!$E140,ProductsMasterTable[#All],5,FALSE)</f>
        <v>402.8</v>
      </c>
      <c r="T140" s="11">
        <f>VLOOKUP(Sales_Raw!$E140,ProductsMasterTable[#All],6,FALSE)</f>
        <v>482.32</v>
      </c>
      <c r="U140" s="11" t="str">
        <f>VLOOKUP(Sales_Raw!$E140,ProductsMasterTable[#All],7,FALSE)</f>
        <v>FreshLine Traders</v>
      </c>
      <c r="V140" s="11" t="str">
        <f>IFERROR(VLOOKUP(Sales_Raw!$D140,CustomersMasterTable[#All],2,FALSE),"Guest")</f>
        <v>Divya Babu</v>
      </c>
      <c r="W140" s="11" t="str">
        <f>IFERROR(VLOOKUP(Sales_Raw!$D140,CustomersMasterTable[#All],3,FALSE),"Guest")</f>
        <v>Female</v>
      </c>
      <c r="X140" s="11">
        <f>IFERROR(VLOOKUP(Sales_Raw!$D140,CustomersMasterTable[#All],4,FALSE),"Guest")</f>
        <v>53</v>
      </c>
      <c r="Y140" s="11" t="str">
        <f>IFERROR(VLOOKUP(Sales_Raw!$D140,CustomersMasterTable[#All],5,FALSE),"Guest")</f>
        <v>Salem</v>
      </c>
      <c r="Z140" s="11" t="str">
        <f>IFERROR(VLOOKUP(Sales_Raw!$D140,CustomersMasterTable[#All],6,FALSE),"Guest")</f>
        <v>Regular</v>
      </c>
      <c r="AA140" s="17">
        <f>IFERROR(VLOOKUP(Sales_Raw!$D140,CustomersMasterTable[#All],7,FALSE),"Guest")</f>
        <v>45810</v>
      </c>
      <c r="AB140" s="23">
        <f>Master_Data[[#This Row],[Qty]]*Master_Data[[#This Row],[Unit_Price]]</f>
        <v>1442.97</v>
      </c>
      <c r="AC140" s="23">
        <f>Master_Data[[#This Row],[Gross_ Sales]]*(1-Master_Data[[#This Row],[Discount Percentage]])</f>
        <v>1370.8215</v>
      </c>
      <c r="AD140" s="23">
        <f>Master_Data[[#This Row],[Net_Sales]]-(Master_Data[[#This Row],[Qty]]*Master_Data[[#This Row],[Cost_Price]])</f>
        <v>162.42149999999992</v>
      </c>
    </row>
    <row r="141" spans="1:30" ht="15">
      <c r="A141" s="13" t="s">
        <v>297</v>
      </c>
      <c r="B141" s="28">
        <f>DATEVALUE(Master_Data[[#This Row],[Sale_Date]])</f>
        <v>46263</v>
      </c>
      <c r="C141" s="13" t="s">
        <v>149</v>
      </c>
      <c r="D141" s="13" t="s">
        <v>169</v>
      </c>
      <c r="E141" s="13" t="str">
        <f>UPPER(TRIM(Sales_Raw!$F141))</f>
        <v>P1025</v>
      </c>
      <c r="F141" s="13" t="s">
        <v>154</v>
      </c>
      <c r="G141" s="13">
        <v>3</v>
      </c>
      <c r="H141" s="14">
        <v>216.73</v>
      </c>
      <c r="I141" s="15">
        <v>0.1</v>
      </c>
      <c r="J141" s="13" t="str">
        <f>UPPER(TRIM(Sales_Raw!$K141))</f>
        <v>CARD</v>
      </c>
      <c r="K141" s="13" t="s">
        <v>34</v>
      </c>
      <c r="L141" s="13" t="str">
        <f>PROPER(TRIM(Sales_Raw!$M141))</f>
        <v>Hasthampatti</v>
      </c>
      <c r="M141" s="13" t="s">
        <v>23</v>
      </c>
      <c r="N141" s="12" t="s">
        <v>24</v>
      </c>
      <c r="O141" s="13" t="s">
        <v>80</v>
      </c>
      <c r="P141" s="16" t="str">
        <f>VLOOKUP(Sales_Raw!$E141,ProductsMasterTable[#All],2,FALSE)</f>
        <v>Handwash 250ml</v>
      </c>
      <c r="Q141" s="16" t="str">
        <f>VLOOKUP(Sales_Raw!$E141,ProductsMasterTable[#All],3,FALSE)</f>
        <v>Personal Care</v>
      </c>
      <c r="R141" s="16" t="str">
        <f>VLOOKUP(Sales_Raw!$E141,ProductsMasterTable[#All],4,FALSE)</f>
        <v>Britannia</v>
      </c>
      <c r="S141" s="16">
        <f>VLOOKUP(Sales_Raw!$E141,ProductsMasterTable[#All],5,FALSE)</f>
        <v>163.52000000000001</v>
      </c>
      <c r="T141" s="16">
        <f>VLOOKUP(Sales_Raw!$E141,ProductsMasterTable[#All],6,FALSE)</f>
        <v>220.65</v>
      </c>
      <c r="U141" s="16" t="str">
        <f>VLOOKUP(Sales_Raw!$E141,ProductsMasterTable[#All],7,FALSE)</f>
        <v>Sri Ganesh Agencies</v>
      </c>
      <c r="V141" s="16" t="str">
        <f>IFERROR(VLOOKUP(Sales_Raw!$D141,CustomersMasterTable[#All],2,FALSE),"Guest")</f>
        <v>Anitha Shree</v>
      </c>
      <c r="W141" s="16" t="str">
        <f>IFERROR(VLOOKUP(Sales_Raw!$D141,CustomersMasterTable[#All],3,FALSE),"Guest")</f>
        <v>Male</v>
      </c>
      <c r="X141" s="16">
        <f>IFERROR(VLOOKUP(Sales_Raw!$D141,CustomersMasterTable[#All],4,FALSE),"Guest")</f>
        <v>60</v>
      </c>
      <c r="Y141" s="16" t="str">
        <f>IFERROR(VLOOKUP(Sales_Raw!$D141,CustomersMasterTable[#All],5,FALSE),"Guest")</f>
        <v>Dharmapuri</v>
      </c>
      <c r="Z141" s="16" t="str">
        <f>IFERROR(VLOOKUP(Sales_Raw!$D141,CustomersMasterTable[#All],6,FALSE),"Guest")</f>
        <v>Regular</v>
      </c>
      <c r="AA141" s="18">
        <f>IFERROR(VLOOKUP(Sales_Raw!$D141,CustomersMasterTable[#All],7,FALSE),"Guest")</f>
        <v>45764</v>
      </c>
      <c r="AB141" s="23">
        <f>Master_Data[[#This Row],[Qty]]*Master_Data[[#This Row],[Unit_Price]]</f>
        <v>650.18999999999994</v>
      </c>
      <c r="AC141" s="23">
        <f>Master_Data[[#This Row],[Gross_ Sales]]*(1-Master_Data[[#This Row],[Discount Percentage]])</f>
        <v>585.17099999999994</v>
      </c>
      <c r="AD141" s="23">
        <f>Master_Data[[#This Row],[Net_Sales]]-(Master_Data[[#This Row],[Qty]]*Master_Data[[#This Row],[Cost_Price]])</f>
        <v>94.610999999999876</v>
      </c>
    </row>
    <row r="142" spans="1:30" ht="15">
      <c r="A142" s="8" t="s">
        <v>298</v>
      </c>
      <c r="B142" s="27">
        <f>DATEVALUE(Master_Data[[#This Row],[Sale_Date]])</f>
        <v>46247</v>
      </c>
      <c r="C142" s="8" t="s">
        <v>104</v>
      </c>
      <c r="D142" s="8" t="s">
        <v>299</v>
      </c>
      <c r="E142" s="8" t="str">
        <f>UPPER(TRIM(Sales_Raw!$F142))</f>
        <v>P1020</v>
      </c>
      <c r="F142" s="8" t="s">
        <v>73</v>
      </c>
      <c r="G142" s="8">
        <v>2</v>
      </c>
      <c r="H142" s="9">
        <v>450.05</v>
      </c>
      <c r="I142" s="10">
        <v>0</v>
      </c>
      <c r="J142" s="8" t="str">
        <f>UPPER(TRIM(Sales_Raw!$K142))</f>
        <v>CARD</v>
      </c>
      <c r="K142" s="8" t="s">
        <v>34</v>
      </c>
      <c r="L142" s="8" t="str">
        <f>PROPER(TRIM(Sales_Raw!$M142))</f>
        <v>Hasthampatti</v>
      </c>
      <c r="M142" s="8" t="s">
        <v>23</v>
      </c>
      <c r="N142" s="7" t="s">
        <v>16</v>
      </c>
      <c r="O142" s="8" t="s">
        <v>65</v>
      </c>
      <c r="P142" s="11" t="str">
        <f>VLOOKUP(Sales_Raw!$E142,ProductsMasterTable[#All],2,FALSE)</f>
        <v>Tea 250g</v>
      </c>
      <c r="Q142" s="11" t="str">
        <f>VLOOKUP(Sales_Raw!$E142,ProductsMasterTable[#All],3,FALSE)</f>
        <v>Beverages</v>
      </c>
      <c r="R142" s="11" t="str">
        <f>VLOOKUP(Sales_Raw!$E142,ProductsMasterTable[#All],4,FALSE)</f>
        <v>ITC</v>
      </c>
      <c r="S142" s="11">
        <f>VLOOKUP(Sales_Raw!$E142,ProductsMasterTable[#All],5,FALSE)</f>
        <v>348.36</v>
      </c>
      <c r="T142" s="11">
        <f>VLOOKUP(Sales_Raw!$E142,ProductsMasterTable[#All],6,FALSE)</f>
        <v>454.67</v>
      </c>
      <c r="U142" s="11" t="str">
        <f>VLOOKUP(Sales_Raw!$E142,ProductsMasterTable[#All],7,FALSE)</f>
        <v>Metro Supply Co</v>
      </c>
      <c r="V142" s="11" t="str">
        <f>IFERROR(VLOOKUP(Sales_Raw!$D142,CustomersMasterTable[#All],2,FALSE),"Guest")</f>
        <v>Karthik Babu</v>
      </c>
      <c r="W142" s="11" t="str">
        <f>IFERROR(VLOOKUP(Sales_Raw!$D142,CustomersMasterTable[#All],3,FALSE),"Guest")</f>
        <v>Female</v>
      </c>
      <c r="X142" s="11">
        <f>IFERROR(VLOOKUP(Sales_Raw!$D142,CustomersMasterTable[#All],4,FALSE),"Guest")</f>
        <v>61</v>
      </c>
      <c r="Y142" s="11" t="str">
        <f>IFERROR(VLOOKUP(Sales_Raw!$D142,CustomersMasterTable[#All],5,FALSE),"Guest")</f>
        <v>Erode</v>
      </c>
      <c r="Z142" s="11" t="str">
        <f>IFERROR(VLOOKUP(Sales_Raw!$D142,CustomersMasterTable[#All],6,FALSE),"Guest")</f>
        <v>Regular</v>
      </c>
      <c r="AA142" s="17">
        <f>IFERROR(VLOOKUP(Sales_Raw!$D142,CustomersMasterTable[#All],7,FALSE),"Guest")</f>
        <v>45831</v>
      </c>
      <c r="AB142" s="23">
        <f>Master_Data[[#This Row],[Qty]]*Master_Data[[#This Row],[Unit_Price]]</f>
        <v>900.1</v>
      </c>
      <c r="AC142" s="23">
        <f>Master_Data[[#This Row],[Gross_ Sales]]*(1-Master_Data[[#This Row],[Discount Percentage]])</f>
        <v>900.1</v>
      </c>
      <c r="AD142" s="23">
        <f>Master_Data[[#This Row],[Net_Sales]]-(Master_Data[[#This Row],[Qty]]*Master_Data[[#This Row],[Cost_Price]])</f>
        <v>203.38</v>
      </c>
    </row>
    <row r="143" spans="1:30" ht="15">
      <c r="A143" s="13" t="s">
        <v>300</v>
      </c>
      <c r="B143" s="28">
        <f>DATEVALUE(Master_Data[[#This Row],[Sale_Date]])</f>
        <v>46270</v>
      </c>
      <c r="C143" s="13" t="s">
        <v>161</v>
      </c>
      <c r="D143" s="13" t="s">
        <v>167</v>
      </c>
      <c r="E143" s="13" t="str">
        <f>UPPER(TRIM(Sales_Raw!$F143))</f>
        <v>P1004</v>
      </c>
      <c r="F143" s="13" t="s">
        <v>159</v>
      </c>
      <c r="G143" s="13">
        <v>6</v>
      </c>
      <c r="H143" s="14">
        <v>138.63</v>
      </c>
      <c r="I143" s="15">
        <v>0</v>
      </c>
      <c r="J143" s="13" t="str">
        <f>UPPER(TRIM(Sales_Raw!$K143))</f>
        <v>CASH</v>
      </c>
      <c r="K143" s="13" t="s">
        <v>14</v>
      </c>
      <c r="L143" s="13" t="str">
        <f>PROPER(TRIM(Sales_Raw!$M143))</f>
        <v>Fairlands</v>
      </c>
      <c r="M143" s="13" t="s">
        <v>15</v>
      </c>
      <c r="N143" s="12" t="s">
        <v>24</v>
      </c>
      <c r="O143" s="13" t="s">
        <v>54</v>
      </c>
      <c r="P143" s="16" t="str">
        <f>VLOOKUP(Sales_Raw!$E143,ProductsMasterTable[#All],2,FALSE)</f>
        <v>Urad Dal 1kg</v>
      </c>
      <c r="Q143" s="16" t="str">
        <f>VLOOKUP(Sales_Raw!$E143,ProductsMasterTable[#All],3,FALSE)</f>
        <v>Staples</v>
      </c>
      <c r="R143" s="16" t="str">
        <f>VLOOKUP(Sales_Raw!$E143,ProductsMasterTable[#All],4,FALSE)</f>
        <v>Cavin's</v>
      </c>
      <c r="S143" s="16">
        <f>VLOOKUP(Sales_Raw!$E143,ProductsMasterTable[#All],5,FALSE)</f>
        <v>111.53</v>
      </c>
      <c r="T143" s="16">
        <f>VLOOKUP(Sales_Raw!$E143,ProductsMasterTable[#All],6,FALSE)</f>
        <v>140.36000000000001</v>
      </c>
      <c r="U143" s="16" t="str">
        <f>VLOOKUP(Sales_Raw!$E143,ProductsMasterTable[#All],7,FALSE)</f>
        <v>Kongu Distributors</v>
      </c>
      <c r="V143" s="16" t="str">
        <f>IFERROR(VLOOKUP(Sales_Raw!$D143,CustomersMasterTable[#All],2,FALSE),"Guest")</f>
        <v>Karthik Raj</v>
      </c>
      <c r="W143" s="16" t="str">
        <f>IFERROR(VLOOKUP(Sales_Raw!$D143,CustomersMasterTable[#All],3,FALSE),"Guest")</f>
        <v>Male</v>
      </c>
      <c r="X143" s="16">
        <f>IFERROR(VLOOKUP(Sales_Raw!$D143,CustomersMasterTable[#All],4,FALSE),"Guest")</f>
        <v>58</v>
      </c>
      <c r="Y143" s="16" t="str">
        <f>IFERROR(VLOOKUP(Sales_Raw!$D143,CustomersMasterTable[#All],5,FALSE),"Guest")</f>
        <v>Namakkal</v>
      </c>
      <c r="Z143" s="16" t="str">
        <f>IFERROR(VLOOKUP(Sales_Raw!$D143,CustomersMasterTable[#All],6,FALSE),"Guest")</f>
        <v>Silver</v>
      </c>
      <c r="AA143" s="18">
        <f>IFERROR(VLOOKUP(Sales_Raw!$D143,CustomersMasterTable[#All],7,FALSE),"Guest")</f>
        <v>46191</v>
      </c>
      <c r="AB143" s="23">
        <f>Master_Data[[#This Row],[Qty]]*Master_Data[[#This Row],[Unit_Price]]</f>
        <v>831.78</v>
      </c>
      <c r="AC143" s="23">
        <f>Master_Data[[#This Row],[Gross_ Sales]]*(1-Master_Data[[#This Row],[Discount Percentage]])</f>
        <v>831.78</v>
      </c>
      <c r="AD143" s="23">
        <f>Master_Data[[#This Row],[Net_Sales]]-(Master_Data[[#This Row],[Qty]]*Master_Data[[#This Row],[Cost_Price]])</f>
        <v>162.59999999999991</v>
      </c>
    </row>
    <row r="144" spans="1:30" ht="15">
      <c r="A144" s="8" t="s">
        <v>301</v>
      </c>
      <c r="B144" s="27">
        <f>DATEVALUE(Master_Data[[#This Row],[Sale_Date]])</f>
        <v>46252</v>
      </c>
      <c r="C144" s="8" t="s">
        <v>197</v>
      </c>
      <c r="D144" s="8" t="s">
        <v>107</v>
      </c>
      <c r="E144" s="8" t="str">
        <f>UPPER(TRIM(Sales_Raw!$F144))</f>
        <v>P1029</v>
      </c>
      <c r="F144" s="8" t="s">
        <v>302</v>
      </c>
      <c r="G144" s="8">
        <v>5</v>
      </c>
      <c r="H144" s="9">
        <v>138.38</v>
      </c>
      <c r="I144" s="10">
        <v>0.05</v>
      </c>
      <c r="J144" s="8" t="str">
        <f>UPPER(TRIM(Sales_Raw!$K144))</f>
        <v>UPI</v>
      </c>
      <c r="K144" s="8" t="s">
        <v>22</v>
      </c>
      <c r="L144" s="8" t="str">
        <f>PROPER(TRIM(Sales_Raw!$M144))</f>
        <v>Fairlands</v>
      </c>
      <c r="M144" s="8" t="s">
        <v>15</v>
      </c>
      <c r="N144" s="7" t="s">
        <v>35</v>
      </c>
      <c r="O144" s="8" t="s">
        <v>25</v>
      </c>
      <c r="P144" s="11" t="str">
        <f>VLOOKUP(Sales_Raw!$E144,ProductsMasterTable[#All],2,FALSE)</f>
        <v>Tissue Roll</v>
      </c>
      <c r="Q144" s="11" t="str">
        <f>VLOOKUP(Sales_Raw!$E144,ProductsMasterTable[#All],3,FALSE)</f>
        <v>Household</v>
      </c>
      <c r="R144" s="11" t="str">
        <f>VLOOKUP(Sales_Raw!$E144,ProductsMasterTable[#All],4,FALSE)</f>
        <v>Aachi</v>
      </c>
      <c r="S144" s="11">
        <f>VLOOKUP(Sales_Raw!$E144,ProductsMasterTable[#All],5,FALSE)</f>
        <v>119.07</v>
      </c>
      <c r="T144" s="11">
        <f>VLOOKUP(Sales_Raw!$E144,ProductsMasterTable[#All],6,FALSE)</f>
        <v>148.51</v>
      </c>
      <c r="U144" s="11" t="str">
        <f>VLOOKUP(Sales_Raw!$E144,ProductsMasterTable[#All],7,FALSE)</f>
        <v>Salem Wholesale Mart</v>
      </c>
      <c r="V144" s="11" t="str">
        <f>IFERROR(VLOOKUP(Sales_Raw!$D144,CustomersMasterTable[#All],2,FALSE),"Guest")</f>
        <v>Meena M</v>
      </c>
      <c r="W144" s="11" t="str">
        <f>IFERROR(VLOOKUP(Sales_Raw!$D144,CustomersMasterTable[#All],3,FALSE),"Guest")</f>
        <v>Female</v>
      </c>
      <c r="X144" s="11">
        <f>IFERROR(VLOOKUP(Sales_Raw!$D144,CustomersMasterTable[#All],4,FALSE),"Guest")</f>
        <v>36</v>
      </c>
      <c r="Y144" s="11" t="str">
        <f>IFERROR(VLOOKUP(Sales_Raw!$D144,CustomersMasterTable[#All],5,FALSE),"Guest")</f>
        <v>Erode</v>
      </c>
      <c r="Z144" s="11" t="str">
        <f>IFERROR(VLOOKUP(Sales_Raw!$D144,CustomersMasterTable[#All],6,FALSE),"Guest")</f>
        <v>Regular</v>
      </c>
      <c r="AA144" s="17">
        <f>IFERROR(VLOOKUP(Sales_Raw!$D144,CustomersMasterTable[#All],7,FALSE),"Guest")</f>
        <v>46214</v>
      </c>
      <c r="AB144" s="23">
        <f>Master_Data[[#This Row],[Qty]]*Master_Data[[#This Row],[Unit_Price]]</f>
        <v>691.9</v>
      </c>
      <c r="AC144" s="23">
        <f>Master_Data[[#This Row],[Gross_ Sales]]*(1-Master_Data[[#This Row],[Discount Percentage]])</f>
        <v>657.30499999999995</v>
      </c>
      <c r="AD144" s="23">
        <f>Master_Data[[#This Row],[Net_Sales]]-(Master_Data[[#This Row],[Qty]]*Master_Data[[#This Row],[Cost_Price]])</f>
        <v>61.955000000000041</v>
      </c>
    </row>
    <row r="145" spans="1:30" ht="15">
      <c r="A145" s="13" t="s">
        <v>303</v>
      </c>
      <c r="B145" s="28">
        <f>DATEVALUE(Master_Data[[#This Row],[Sale_Date]])</f>
        <v>46257</v>
      </c>
      <c r="C145" s="13" t="s">
        <v>220</v>
      </c>
      <c r="D145" s="13" t="s">
        <v>167</v>
      </c>
      <c r="E145" s="13" t="str">
        <f>UPPER(TRIM(Sales_Raw!$F145))</f>
        <v>P1001</v>
      </c>
      <c r="F145" s="13" t="s">
        <v>52</v>
      </c>
      <c r="G145" s="13">
        <v>4</v>
      </c>
      <c r="H145" s="14">
        <v>286.19</v>
      </c>
      <c r="I145" s="15">
        <v>0.1</v>
      </c>
      <c r="J145" s="13" t="str">
        <f>UPPER(TRIM(Sales_Raw!$K145))</f>
        <v>CASH</v>
      </c>
      <c r="K145" s="13" t="s">
        <v>14</v>
      </c>
      <c r="L145" s="13" t="str">
        <f>PROPER(TRIM(Sales_Raw!$M145))</f>
        <v>Fairlands</v>
      </c>
      <c r="M145" s="13" t="s">
        <v>15</v>
      </c>
      <c r="N145" s="12" t="s">
        <v>35</v>
      </c>
      <c r="O145" s="13" t="s">
        <v>54</v>
      </c>
      <c r="P145" s="16" t="str">
        <f>VLOOKUP(Sales_Raw!$E145,ProductsMasterTable[#All],2,FALSE)</f>
        <v>Rice 5kg</v>
      </c>
      <c r="Q145" s="16" t="str">
        <f>VLOOKUP(Sales_Raw!$E145,ProductsMasterTable[#All],3,FALSE)</f>
        <v>Staples</v>
      </c>
      <c r="R145" s="16" t="str">
        <f>VLOOKUP(Sales_Raw!$E145,ProductsMasterTable[#All],4,FALSE)</f>
        <v>Nestle</v>
      </c>
      <c r="S145" s="16">
        <f>VLOOKUP(Sales_Raw!$E145,ProductsMasterTable[#All],5,FALSE)</f>
        <v>275.05</v>
      </c>
      <c r="T145" s="16">
        <f>VLOOKUP(Sales_Raw!$E145,ProductsMasterTable[#All],6,FALSE)</f>
        <v>309.64</v>
      </c>
      <c r="U145" s="16" t="str">
        <f>VLOOKUP(Sales_Raw!$E145,ProductsMasterTable[#All],7,FALSE)</f>
        <v>Kongu Distributors</v>
      </c>
      <c r="V145" s="16" t="str">
        <f>IFERROR(VLOOKUP(Sales_Raw!$D145,CustomersMasterTable[#All],2,FALSE),"Guest")</f>
        <v>Karthik Raj</v>
      </c>
      <c r="W145" s="16" t="str">
        <f>IFERROR(VLOOKUP(Sales_Raw!$D145,CustomersMasterTable[#All],3,FALSE),"Guest")</f>
        <v>Male</v>
      </c>
      <c r="X145" s="16">
        <f>IFERROR(VLOOKUP(Sales_Raw!$D145,CustomersMasterTable[#All],4,FALSE),"Guest")</f>
        <v>58</v>
      </c>
      <c r="Y145" s="16" t="str">
        <f>IFERROR(VLOOKUP(Sales_Raw!$D145,CustomersMasterTable[#All],5,FALSE),"Guest")</f>
        <v>Namakkal</v>
      </c>
      <c r="Z145" s="16" t="str">
        <f>IFERROR(VLOOKUP(Sales_Raw!$D145,CustomersMasterTable[#All],6,FALSE),"Guest")</f>
        <v>Silver</v>
      </c>
      <c r="AA145" s="18">
        <f>IFERROR(VLOOKUP(Sales_Raw!$D145,CustomersMasterTable[#All],7,FALSE),"Guest")</f>
        <v>46191</v>
      </c>
      <c r="AB145" s="23">
        <f>Master_Data[[#This Row],[Qty]]*Master_Data[[#This Row],[Unit_Price]]</f>
        <v>1144.76</v>
      </c>
      <c r="AC145" s="23">
        <f>Master_Data[[#This Row],[Gross_ Sales]]*(1-Master_Data[[#This Row],[Discount Percentage]])</f>
        <v>1030.2840000000001</v>
      </c>
      <c r="AD145" s="23">
        <f>Master_Data[[#This Row],[Net_Sales]]-(Master_Data[[#This Row],[Qty]]*Master_Data[[#This Row],[Cost_Price]])</f>
        <v>-69.91599999999994</v>
      </c>
    </row>
    <row r="146" spans="1:30" ht="29.25">
      <c r="A146" s="8" t="s">
        <v>304</v>
      </c>
      <c r="B146" s="27">
        <f>DATEVALUE(Master_Data[[#This Row],[Sale_Date]])</f>
        <v>46240</v>
      </c>
      <c r="C146" s="8" t="s">
        <v>305</v>
      </c>
      <c r="D146" s="8" t="s">
        <v>249</v>
      </c>
      <c r="E146" s="8" t="str">
        <f>UPPER(TRIM(Sales_Raw!$F146))</f>
        <v>P1008</v>
      </c>
      <c r="F146" s="8" t="s">
        <v>13</v>
      </c>
      <c r="G146" s="8">
        <v>1</v>
      </c>
      <c r="H146" s="9">
        <v>456.03</v>
      </c>
      <c r="I146" s="10">
        <v>0</v>
      </c>
      <c r="J146" s="8" t="str">
        <f>UPPER(TRIM(Sales_Raw!$K146))</f>
        <v>CARD</v>
      </c>
      <c r="K146" s="8" t="s">
        <v>34</v>
      </c>
      <c r="L146" s="8" t="str">
        <f>PROPER(TRIM(Sales_Raw!$M146))</f>
        <v>Suramangalam</v>
      </c>
      <c r="M146" s="8" t="s">
        <v>40</v>
      </c>
      <c r="N146" s="7" t="s">
        <v>16</v>
      </c>
      <c r="O146" s="8" t="s">
        <v>17</v>
      </c>
      <c r="P146" s="11" t="str">
        <f>VLOOKUP(Sales_Raw!$E146,ProductsMasterTable[#All],2,FALSE)</f>
        <v>Curd 500g</v>
      </c>
      <c r="Q146" s="11" t="str">
        <f>VLOOKUP(Sales_Raw!$E146,ProductsMasterTable[#All],3,FALSE)</f>
        <v>Dairy</v>
      </c>
      <c r="R146" s="11" t="str">
        <f>VLOOKUP(Sales_Raw!$E146,ProductsMasterTable[#All],4,FALSE)</f>
        <v>Aavin</v>
      </c>
      <c r="S146" s="11">
        <f>VLOOKUP(Sales_Raw!$E146,ProductsMasterTable[#All],5,FALSE)</f>
        <v>402.8</v>
      </c>
      <c r="T146" s="11">
        <f>VLOOKUP(Sales_Raw!$E146,ProductsMasterTable[#All],6,FALSE)</f>
        <v>482.32</v>
      </c>
      <c r="U146" s="11" t="str">
        <f>VLOOKUP(Sales_Raw!$E146,ProductsMasterTable[#All],7,FALSE)</f>
        <v>FreshLine Traders</v>
      </c>
      <c r="V146" s="11" t="str">
        <f>IFERROR(VLOOKUP(Sales_Raw!$D146,CustomersMasterTable[#All],2,FALSE),"Guest")</f>
        <v>Keerthi Shree</v>
      </c>
      <c r="W146" s="11" t="str">
        <f>IFERROR(VLOOKUP(Sales_Raw!$D146,CustomersMasterTable[#All],3,FALSE),"Guest")</f>
        <v>Male</v>
      </c>
      <c r="X146" s="11">
        <f>IFERROR(VLOOKUP(Sales_Raw!$D146,CustomersMasterTable[#All],4,FALSE),"Guest")</f>
        <v>57</v>
      </c>
      <c r="Y146" s="11" t="str">
        <f>IFERROR(VLOOKUP(Sales_Raw!$D146,CustomersMasterTable[#All],5,FALSE),"Guest")</f>
        <v>Salem</v>
      </c>
      <c r="Z146" s="11" t="str">
        <f>IFERROR(VLOOKUP(Sales_Raw!$D146,CustomersMasterTable[#All],6,FALSE),"Guest")</f>
        <v>Regular</v>
      </c>
      <c r="AA146" s="17">
        <f>IFERROR(VLOOKUP(Sales_Raw!$D146,CustomersMasterTable[#All],7,FALSE),"Guest")</f>
        <v>46255</v>
      </c>
      <c r="AB146" s="23">
        <f>Master_Data[[#This Row],[Qty]]*Master_Data[[#This Row],[Unit_Price]]</f>
        <v>456.03</v>
      </c>
      <c r="AC146" s="23">
        <f>Master_Data[[#This Row],[Gross_ Sales]]*(1-Master_Data[[#This Row],[Discount Percentage]])</f>
        <v>456.03</v>
      </c>
      <c r="AD146" s="23">
        <f>Master_Data[[#This Row],[Net_Sales]]-(Master_Data[[#This Row],[Qty]]*Master_Data[[#This Row],[Cost_Price]])</f>
        <v>53.229999999999961</v>
      </c>
    </row>
    <row r="147" spans="1:30" ht="15">
      <c r="A147" s="13" t="s">
        <v>306</v>
      </c>
      <c r="B147" s="28">
        <f>DATEVALUE(Master_Data[[#This Row],[Sale_Date]])</f>
        <v>46244</v>
      </c>
      <c r="C147" s="13" t="s">
        <v>67</v>
      </c>
      <c r="D147" s="13" t="s">
        <v>227</v>
      </c>
      <c r="E147" s="13" t="str">
        <f>UPPER(TRIM(Sales_Raw!$F147))</f>
        <v>P1002</v>
      </c>
      <c r="F147" s="13" t="s">
        <v>232</v>
      </c>
      <c r="G147" s="13">
        <v>3</v>
      </c>
      <c r="H147" s="14">
        <v>137.99</v>
      </c>
      <c r="I147" s="15">
        <v>0.05</v>
      </c>
      <c r="J147" s="13" t="str">
        <f>UPPER(TRIM(Sales_Raw!$K147))</f>
        <v>CARD</v>
      </c>
      <c r="K147" s="13" t="s">
        <v>34</v>
      </c>
      <c r="L147" s="13" t="str">
        <f>PROPER(TRIM(Sales_Raw!$M147))</f>
        <v>Fairlands</v>
      </c>
      <c r="M147" s="13" t="s">
        <v>15</v>
      </c>
      <c r="N147" s="12" t="s">
        <v>35</v>
      </c>
      <c r="O147" s="13" t="s">
        <v>54</v>
      </c>
      <c r="P147" s="16" t="str">
        <f>VLOOKUP(Sales_Raw!$E147,ProductsMasterTable[#All],2,FALSE)</f>
        <v>Wheat Flour 5kg</v>
      </c>
      <c r="Q147" s="16" t="str">
        <f>VLOOKUP(Sales_Raw!$E147,ProductsMasterTable[#All],3,FALSE)</f>
        <v>Staples</v>
      </c>
      <c r="R147" s="16" t="str">
        <f>VLOOKUP(Sales_Raw!$E147,ProductsMasterTable[#All],4,FALSE)</f>
        <v>Cavin's</v>
      </c>
      <c r="S147" s="16">
        <f>VLOOKUP(Sales_Raw!$E147,ProductsMasterTable[#All],5,FALSE)</f>
        <v>107.73</v>
      </c>
      <c r="T147" s="16">
        <f>VLOOKUP(Sales_Raw!$E147,ProductsMasterTable[#All],6,FALSE)</f>
        <v>138.91</v>
      </c>
      <c r="U147" s="16" t="str">
        <f>VLOOKUP(Sales_Raw!$E147,ProductsMasterTable[#All],7,FALSE)</f>
        <v>Salem Wholesale Mart</v>
      </c>
      <c r="V147" s="16" t="str">
        <f>IFERROR(VLOOKUP(Sales_Raw!$D147,CustomersMasterTable[#All],2,FALSE),"Guest")</f>
        <v>Keerthi R</v>
      </c>
      <c r="W147" s="16" t="str">
        <f>IFERROR(VLOOKUP(Sales_Raw!$D147,CustomersMasterTable[#All],3,FALSE),"Guest")</f>
        <v>Female</v>
      </c>
      <c r="X147" s="16">
        <f>IFERROR(VLOOKUP(Sales_Raw!$D147,CustomersMasterTable[#All],4,FALSE),"Guest")</f>
        <v>19</v>
      </c>
      <c r="Y147" s="16" t="str">
        <f>IFERROR(VLOOKUP(Sales_Raw!$D147,CustomersMasterTable[#All],5,FALSE),"Guest")</f>
        <v>Dharmapuri</v>
      </c>
      <c r="Z147" s="16" t="str">
        <f>IFERROR(VLOOKUP(Sales_Raw!$D147,CustomersMasterTable[#All],6,FALSE),"Guest")</f>
        <v>Silver</v>
      </c>
      <c r="AA147" s="18">
        <f>IFERROR(VLOOKUP(Sales_Raw!$D147,CustomersMasterTable[#All],7,FALSE),"Guest")</f>
        <v>45883</v>
      </c>
      <c r="AB147" s="23">
        <f>Master_Data[[#This Row],[Qty]]*Master_Data[[#This Row],[Unit_Price]]</f>
        <v>413.97</v>
      </c>
      <c r="AC147" s="23">
        <f>Master_Data[[#This Row],[Gross_ Sales]]*(1-Master_Data[[#This Row],[Discount Percentage]])</f>
        <v>393.2715</v>
      </c>
      <c r="AD147" s="23">
        <f>Master_Data[[#This Row],[Net_Sales]]-(Master_Data[[#This Row],[Qty]]*Master_Data[[#This Row],[Cost_Price]])</f>
        <v>70.081500000000005</v>
      </c>
    </row>
    <row r="148" spans="1:30" ht="29.25">
      <c r="A148" s="8" t="s">
        <v>307</v>
      </c>
      <c r="B148" s="27">
        <f>DATEVALUE(Master_Data[[#This Row],[Sale_Date]])</f>
        <v>46263</v>
      </c>
      <c r="C148" s="8" t="s">
        <v>149</v>
      </c>
      <c r="D148" s="8" t="s">
        <v>191</v>
      </c>
      <c r="E148" s="8" t="str">
        <f>UPPER(TRIM(Sales_Raw!$F148))</f>
        <v>P1001</v>
      </c>
      <c r="F148" s="8" t="s">
        <v>52</v>
      </c>
      <c r="G148" s="8">
        <v>1</v>
      </c>
      <c r="H148" s="9">
        <v>285.33999999999997</v>
      </c>
      <c r="I148" s="10">
        <v>0</v>
      </c>
      <c r="J148" s="8" t="str">
        <f>UPPER(TRIM(Sales_Raw!$K148))</f>
        <v>UPI</v>
      </c>
      <c r="K148" s="8" t="s">
        <v>22</v>
      </c>
      <c r="L148" s="8" t="str">
        <f>PROPER(TRIM(Sales_Raw!$M148))</f>
        <v>Suramangalam</v>
      </c>
      <c r="M148" s="8" t="s">
        <v>40</v>
      </c>
      <c r="N148" s="7" t="s">
        <v>41</v>
      </c>
      <c r="O148" s="8" t="s">
        <v>54</v>
      </c>
      <c r="P148" s="11" t="str">
        <f>VLOOKUP(Sales_Raw!$E148,ProductsMasterTable[#All],2,FALSE)</f>
        <v>Rice 5kg</v>
      </c>
      <c r="Q148" s="11" t="str">
        <f>VLOOKUP(Sales_Raw!$E148,ProductsMasterTable[#All],3,FALSE)</f>
        <v>Staples</v>
      </c>
      <c r="R148" s="11" t="str">
        <f>VLOOKUP(Sales_Raw!$E148,ProductsMasterTable[#All],4,FALSE)</f>
        <v>Nestle</v>
      </c>
      <c r="S148" s="11">
        <f>VLOOKUP(Sales_Raw!$E148,ProductsMasterTable[#All],5,FALSE)</f>
        <v>275.05</v>
      </c>
      <c r="T148" s="11">
        <f>VLOOKUP(Sales_Raw!$E148,ProductsMasterTable[#All],6,FALSE)</f>
        <v>309.64</v>
      </c>
      <c r="U148" s="11" t="str">
        <f>VLOOKUP(Sales_Raw!$E148,ProductsMasterTable[#All],7,FALSE)</f>
        <v>Kongu Distributors</v>
      </c>
      <c r="V148" s="11" t="str">
        <f>IFERROR(VLOOKUP(Sales_Raw!$D148,CustomersMasterTable[#All],2,FALSE),"Guest")</f>
        <v>Divya Devi</v>
      </c>
      <c r="W148" s="11" t="str">
        <f>IFERROR(VLOOKUP(Sales_Raw!$D148,CustomersMasterTable[#All],3,FALSE),"Guest")</f>
        <v>Female</v>
      </c>
      <c r="X148" s="11">
        <f>IFERROR(VLOOKUP(Sales_Raw!$D148,CustomersMasterTable[#All],4,FALSE),"Guest")</f>
        <v>60</v>
      </c>
      <c r="Y148" s="11" t="str">
        <f>IFERROR(VLOOKUP(Sales_Raw!$D148,CustomersMasterTable[#All],5,FALSE),"Guest")</f>
        <v>Karur</v>
      </c>
      <c r="Z148" s="11" t="str">
        <f>IFERROR(VLOOKUP(Sales_Raw!$D148,CustomersMasterTable[#All],6,FALSE),"Guest")</f>
        <v>Silver</v>
      </c>
      <c r="AA148" s="17">
        <f>IFERROR(VLOOKUP(Sales_Raw!$D148,CustomersMasterTable[#All],7,FALSE),"Guest")</f>
        <v>45931</v>
      </c>
      <c r="AB148" s="23">
        <f>Master_Data[[#This Row],[Qty]]*Master_Data[[#This Row],[Unit_Price]]</f>
        <v>285.33999999999997</v>
      </c>
      <c r="AC148" s="23">
        <f>Master_Data[[#This Row],[Gross_ Sales]]*(1-Master_Data[[#This Row],[Discount Percentage]])</f>
        <v>285.33999999999997</v>
      </c>
      <c r="AD148" s="23">
        <f>Master_Data[[#This Row],[Net_Sales]]-(Master_Data[[#This Row],[Qty]]*Master_Data[[#This Row],[Cost_Price]])</f>
        <v>10.289999999999964</v>
      </c>
    </row>
    <row r="149" spans="1:30" ht="15">
      <c r="A149" s="13" t="s">
        <v>308</v>
      </c>
      <c r="B149" s="28">
        <f>DATEVALUE(Master_Data[[#This Row],[Sale_Date]])</f>
        <v>46268</v>
      </c>
      <c r="C149" s="13" t="s">
        <v>118</v>
      </c>
      <c r="D149" s="13" t="s">
        <v>490</v>
      </c>
      <c r="E149" s="13" t="str">
        <f>UPPER(TRIM(Sales_Raw!$F149))</f>
        <v>P1004</v>
      </c>
      <c r="F149" s="13" t="s">
        <v>159</v>
      </c>
      <c r="G149" s="13">
        <v>3</v>
      </c>
      <c r="H149" s="14">
        <v>131.80000000000001</v>
      </c>
      <c r="I149" s="15">
        <v>0</v>
      </c>
      <c r="J149" s="13" t="str">
        <f>UPPER(TRIM(Sales_Raw!$K149))</f>
        <v>UPI</v>
      </c>
      <c r="K149" s="13" t="s">
        <v>22</v>
      </c>
      <c r="L149" s="13" t="str">
        <f>PROPER(TRIM(Sales_Raw!$M149))</f>
        <v>Fairlands</v>
      </c>
      <c r="M149" s="13" t="s">
        <v>15</v>
      </c>
      <c r="N149" s="12" t="s">
        <v>35</v>
      </c>
      <c r="O149" s="13" t="s">
        <v>54</v>
      </c>
      <c r="P149" s="16" t="str">
        <f>VLOOKUP(Sales_Raw!$E149,ProductsMasterTable[#All],2,FALSE)</f>
        <v>Urad Dal 1kg</v>
      </c>
      <c r="Q149" s="16" t="str">
        <f>VLOOKUP(Sales_Raw!$E149,ProductsMasterTable[#All],3,FALSE)</f>
        <v>Staples</v>
      </c>
      <c r="R149" s="16" t="str">
        <f>VLOOKUP(Sales_Raw!$E149,ProductsMasterTable[#All],4,FALSE)</f>
        <v>Cavin's</v>
      </c>
      <c r="S149" s="16">
        <f>VLOOKUP(Sales_Raw!$E149,ProductsMasterTable[#All],5,FALSE)</f>
        <v>111.53</v>
      </c>
      <c r="T149" s="16">
        <f>VLOOKUP(Sales_Raw!$E149,ProductsMasterTable[#All],6,FALSE)</f>
        <v>140.36000000000001</v>
      </c>
      <c r="U149" s="16" t="str">
        <f>VLOOKUP(Sales_Raw!$E149,ProductsMasterTable[#All],7,FALSE)</f>
        <v>Kongu Distributors</v>
      </c>
      <c r="V149" s="16" t="str">
        <f>IFERROR(VLOOKUP(Sales_Raw!$D149,CustomersMasterTable[#All],2,FALSE),"Guest")</f>
        <v>Guest</v>
      </c>
      <c r="W149" s="16" t="str">
        <f>IFERROR(VLOOKUP(Sales_Raw!$D149,CustomersMasterTable[#All],3,FALSE),"Guest")</f>
        <v>Guest</v>
      </c>
      <c r="X149" s="16" t="str">
        <f>IFERROR(VLOOKUP(Sales_Raw!$D149,CustomersMasterTable[#All],4,FALSE),"Guest")</f>
        <v>Guest</v>
      </c>
      <c r="Y149" s="16" t="str">
        <f>IFERROR(VLOOKUP(Sales_Raw!$D149,CustomersMasterTable[#All],5,FALSE),"Guest")</f>
        <v>Guest</v>
      </c>
      <c r="Z149" s="16" t="str">
        <f>IFERROR(VLOOKUP(Sales_Raw!$D149,CustomersMasterTable[#All],6,FALSE),"Guest")</f>
        <v>Guest</v>
      </c>
      <c r="AA149" s="18" t="str">
        <f>IFERROR(VLOOKUP(Sales_Raw!$D149,CustomersMasterTable[#All],7,FALSE),"Guest")</f>
        <v>Guest</v>
      </c>
      <c r="AB149" s="23">
        <f>Master_Data[[#This Row],[Qty]]*Master_Data[[#This Row],[Unit_Price]]</f>
        <v>395.40000000000003</v>
      </c>
      <c r="AC149" s="23">
        <f>Master_Data[[#This Row],[Gross_ Sales]]*(1-Master_Data[[#This Row],[Discount Percentage]])</f>
        <v>395.40000000000003</v>
      </c>
      <c r="AD149" s="23">
        <f>Master_Data[[#This Row],[Net_Sales]]-(Master_Data[[#This Row],[Qty]]*Master_Data[[#This Row],[Cost_Price]])</f>
        <v>60.81</v>
      </c>
    </row>
    <row r="150" spans="1:30" ht="15">
      <c r="A150" s="8" t="s">
        <v>309</v>
      </c>
      <c r="B150" s="27">
        <f>DATEVALUE(Master_Data[[#This Row],[Sale_Date]])</f>
        <v>46264</v>
      </c>
      <c r="C150" s="8" t="s">
        <v>139</v>
      </c>
      <c r="D150" s="8" t="s">
        <v>28</v>
      </c>
      <c r="E150" s="8" t="str">
        <f>UPPER(TRIM(Sales_Raw!$F150))</f>
        <v>P1004</v>
      </c>
      <c r="F150" s="8" t="s">
        <v>159</v>
      </c>
      <c r="G150" s="8">
        <v>4</v>
      </c>
      <c r="H150" s="9">
        <v>135.83000000000001</v>
      </c>
      <c r="I150" s="10">
        <v>0</v>
      </c>
      <c r="J150" s="8" t="str">
        <f>UPPER(TRIM(Sales_Raw!$K150))</f>
        <v>CARD</v>
      </c>
      <c r="K150" s="8" t="s">
        <v>34</v>
      </c>
      <c r="L150" s="8" t="str">
        <f>PROPER(TRIM(Sales_Raw!$M150))</f>
        <v>Fairlands</v>
      </c>
      <c r="M150" s="8" t="s">
        <v>127</v>
      </c>
      <c r="N150" s="7" t="s">
        <v>41</v>
      </c>
      <c r="O150" s="8" t="s">
        <v>54</v>
      </c>
      <c r="P150" s="11" t="str">
        <f>VLOOKUP(Sales_Raw!$E150,ProductsMasterTable[#All],2,FALSE)</f>
        <v>Urad Dal 1kg</v>
      </c>
      <c r="Q150" s="11" t="str">
        <f>VLOOKUP(Sales_Raw!$E150,ProductsMasterTable[#All],3,FALSE)</f>
        <v>Staples</v>
      </c>
      <c r="R150" s="11" t="str">
        <f>VLOOKUP(Sales_Raw!$E150,ProductsMasterTable[#All],4,FALSE)</f>
        <v>Cavin's</v>
      </c>
      <c r="S150" s="11">
        <f>VLOOKUP(Sales_Raw!$E150,ProductsMasterTable[#All],5,FALSE)</f>
        <v>111.53</v>
      </c>
      <c r="T150" s="11">
        <f>VLOOKUP(Sales_Raw!$E150,ProductsMasterTable[#All],6,FALSE)</f>
        <v>140.36000000000001</v>
      </c>
      <c r="U150" s="11" t="str">
        <f>VLOOKUP(Sales_Raw!$E150,ProductsMasterTable[#All],7,FALSE)</f>
        <v>Kongu Distributors</v>
      </c>
      <c r="V150" s="11" t="str">
        <f>IFERROR(VLOOKUP(Sales_Raw!$D150,CustomersMasterTable[#All],2,FALSE),"Guest")</f>
        <v>Anitha M</v>
      </c>
      <c r="W150" s="11" t="str">
        <f>IFERROR(VLOOKUP(Sales_Raw!$D150,CustomersMasterTable[#All],3,FALSE),"Guest")</f>
        <v>Male</v>
      </c>
      <c r="X150" s="11">
        <f>IFERROR(VLOOKUP(Sales_Raw!$D150,CustomersMasterTable[#All],4,FALSE),"Guest")</f>
        <v>33</v>
      </c>
      <c r="Y150" s="11" t="str">
        <f>IFERROR(VLOOKUP(Sales_Raw!$D150,CustomersMasterTable[#All],5,FALSE),"Guest")</f>
        <v>Dharmapuri</v>
      </c>
      <c r="Z150" s="11" t="str">
        <f>IFERROR(VLOOKUP(Sales_Raw!$D150,CustomersMasterTable[#All],6,FALSE),"Guest")</f>
        <v>Gold</v>
      </c>
      <c r="AA150" s="17">
        <f>IFERROR(VLOOKUP(Sales_Raw!$D150,CustomersMasterTable[#All],7,FALSE),"Guest")</f>
        <v>45745</v>
      </c>
      <c r="AB150" s="23">
        <f>Master_Data[[#This Row],[Qty]]*Master_Data[[#This Row],[Unit_Price]]</f>
        <v>543.32000000000005</v>
      </c>
      <c r="AC150" s="23">
        <f>Master_Data[[#This Row],[Gross_ Sales]]*(1-Master_Data[[#This Row],[Discount Percentage]])</f>
        <v>543.32000000000005</v>
      </c>
      <c r="AD150" s="23">
        <f>Master_Data[[#This Row],[Net_Sales]]-(Master_Data[[#This Row],[Qty]]*Master_Data[[#This Row],[Cost_Price]])</f>
        <v>97.200000000000045</v>
      </c>
    </row>
    <row r="151" spans="1:30" ht="15">
      <c r="A151" s="13" t="s">
        <v>310</v>
      </c>
      <c r="B151" s="28">
        <f>DATEVALUE(Master_Data[[#This Row],[Sale_Date]])</f>
        <v>46250</v>
      </c>
      <c r="C151" s="13" t="s">
        <v>95</v>
      </c>
      <c r="D151" s="13" t="s">
        <v>90</v>
      </c>
      <c r="E151" s="13" t="str">
        <f>UPPER(TRIM(Sales_Raw!$F151))</f>
        <v>P1005</v>
      </c>
      <c r="F151" s="13" t="s">
        <v>69</v>
      </c>
      <c r="G151" s="13">
        <v>3</v>
      </c>
      <c r="H151" s="14">
        <v>373.98</v>
      </c>
      <c r="I151" s="15">
        <v>0.1</v>
      </c>
      <c r="J151" s="13" t="str">
        <f>UPPER(TRIM(Sales_Raw!$K151))</f>
        <v>CASH</v>
      </c>
      <c r="K151" s="13" t="s">
        <v>14</v>
      </c>
      <c r="L151" s="13" t="str">
        <f>PROPER(TRIM(Sales_Raw!$M151))</f>
        <v>Fairlands</v>
      </c>
      <c r="M151" s="13" t="s">
        <v>15</v>
      </c>
      <c r="N151" s="12" t="s">
        <v>41</v>
      </c>
      <c r="O151" s="13" t="s">
        <v>54</v>
      </c>
      <c r="P151" s="16" t="str">
        <f>VLOOKUP(Sales_Raw!$E151,ProductsMasterTable[#All],2,FALSE)</f>
        <v>Sugar 1kg</v>
      </c>
      <c r="Q151" s="16" t="str">
        <f>VLOOKUP(Sales_Raw!$E151,ProductsMasterTable[#All],3,FALSE)</f>
        <v>Staples</v>
      </c>
      <c r="R151" s="16" t="str">
        <f>VLOOKUP(Sales_Raw!$E151,ProductsMasterTable[#All],4,FALSE)</f>
        <v>ITC</v>
      </c>
      <c r="S151" s="16">
        <f>VLOOKUP(Sales_Raw!$E151,ProductsMasterTable[#All],5,FALSE)</f>
        <v>305.83999999999997</v>
      </c>
      <c r="T151" s="16">
        <f>VLOOKUP(Sales_Raw!$E151,ProductsMasterTable[#All],6,FALSE)</f>
        <v>391.87</v>
      </c>
      <c r="U151" s="16" t="str">
        <f>VLOOKUP(Sales_Raw!$E151,ProductsMasterTable[#All],7,FALSE)</f>
        <v>Kongu Distributors</v>
      </c>
      <c r="V151" s="16" t="str">
        <f>IFERROR(VLOOKUP(Sales_Raw!$D151,CustomersMasterTable[#All],2,FALSE),"Guest")</f>
        <v>Harish Selvam</v>
      </c>
      <c r="W151" s="16" t="str">
        <f>IFERROR(VLOOKUP(Sales_Raw!$D151,CustomersMasterTable[#All],3,FALSE),"Guest")</f>
        <v>Male</v>
      </c>
      <c r="X151" s="16">
        <f>IFERROR(VLOOKUP(Sales_Raw!$D151,CustomersMasterTable[#All],4,FALSE),"Guest")</f>
        <v>42</v>
      </c>
      <c r="Y151" s="16" t="str">
        <f>IFERROR(VLOOKUP(Sales_Raw!$D151,CustomersMasterTable[#All],5,FALSE),"Guest")</f>
        <v>Dharmapuri</v>
      </c>
      <c r="Z151" s="16" t="str">
        <f>IFERROR(VLOOKUP(Sales_Raw!$D151,CustomersMasterTable[#All],6,FALSE),"Guest")</f>
        <v>Regular</v>
      </c>
      <c r="AA151" s="18">
        <f>IFERROR(VLOOKUP(Sales_Raw!$D151,CustomersMasterTable[#All],7,FALSE),"Guest")</f>
        <v>45703</v>
      </c>
      <c r="AB151" s="23">
        <f>Master_Data[[#This Row],[Qty]]*Master_Data[[#This Row],[Unit_Price]]</f>
        <v>1121.94</v>
      </c>
      <c r="AC151" s="23">
        <f>Master_Data[[#This Row],[Gross_ Sales]]*(1-Master_Data[[#This Row],[Discount Percentage]])</f>
        <v>1009.7460000000001</v>
      </c>
      <c r="AD151" s="23">
        <f>Master_Data[[#This Row],[Net_Sales]]-(Master_Data[[#This Row],[Qty]]*Master_Data[[#This Row],[Cost_Price]])</f>
        <v>92.226000000000113</v>
      </c>
    </row>
    <row r="152" spans="1:30" ht="29.25">
      <c r="A152" s="8" t="s">
        <v>311</v>
      </c>
      <c r="B152" s="27">
        <f>DATEVALUE(Master_Data[[#This Row],[Sale_Date]])</f>
        <v>46261</v>
      </c>
      <c r="C152" s="8" t="s">
        <v>32</v>
      </c>
      <c r="D152" s="8" t="s">
        <v>312</v>
      </c>
      <c r="E152" s="8" t="str">
        <f>UPPER(TRIM(Sales_Raw!$F152))</f>
        <v>P1022</v>
      </c>
      <c r="F152" s="8" t="s">
        <v>140</v>
      </c>
      <c r="G152" s="8">
        <v>6</v>
      </c>
      <c r="H152" s="9">
        <v>118.43</v>
      </c>
      <c r="I152" s="10">
        <v>0</v>
      </c>
      <c r="J152" s="8" t="str">
        <f>UPPER(TRIM(Sales_Raw!$K152))</f>
        <v>UPI</v>
      </c>
      <c r="K152" s="8" t="s">
        <v>22</v>
      </c>
      <c r="L152" s="8" t="str">
        <f>PROPER(TRIM(Sales_Raw!$M152))</f>
        <v>Suramangalam</v>
      </c>
      <c r="M152" s="8" t="s">
        <v>40</v>
      </c>
      <c r="N152" s="7" t="s">
        <v>41</v>
      </c>
      <c r="O152" s="8" t="s">
        <v>80</v>
      </c>
      <c r="P152" s="11" t="str">
        <f>VLOOKUP(Sales_Raw!$E152,ProductsMasterTable[#All],2,FALSE)</f>
        <v>Bath Soap</v>
      </c>
      <c r="Q152" s="11" t="str">
        <f>VLOOKUP(Sales_Raw!$E152,ProductsMasterTable[#All],3,FALSE)</f>
        <v>Personal Care</v>
      </c>
      <c r="R152" s="11" t="str">
        <f>VLOOKUP(Sales_Raw!$E152,ProductsMasterTable[#All],4,FALSE)</f>
        <v>LocalFresh</v>
      </c>
      <c r="S152" s="11">
        <f>VLOOKUP(Sales_Raw!$E152,ProductsMasterTable[#All],5,FALSE)</f>
        <v>103.48</v>
      </c>
      <c r="T152" s="11">
        <f>VLOOKUP(Sales_Raw!$E152,ProductsMasterTable[#All],6,FALSE)</f>
        <v>127.78</v>
      </c>
      <c r="U152" s="11" t="str">
        <f>VLOOKUP(Sales_Raw!$E152,ProductsMasterTable[#All],7,FALSE)</f>
        <v>Kongu Distributors</v>
      </c>
      <c r="V152" s="11" t="str">
        <f>IFERROR(VLOOKUP(Sales_Raw!$D152,CustomersMasterTable[#All],2,FALSE),"Guest")</f>
        <v>Vignesh Shree</v>
      </c>
      <c r="W152" s="11" t="str">
        <f>IFERROR(VLOOKUP(Sales_Raw!$D152,CustomersMasterTable[#All],3,FALSE),"Guest")</f>
        <v>Female</v>
      </c>
      <c r="X152" s="11">
        <f>IFERROR(VLOOKUP(Sales_Raw!$D152,CustomersMasterTable[#All],4,FALSE),"Guest")</f>
        <v>33</v>
      </c>
      <c r="Y152" s="11" t="str">
        <f>IFERROR(VLOOKUP(Sales_Raw!$D152,CustomersMasterTable[#All],5,FALSE),"Guest")</f>
        <v>Coimbatore</v>
      </c>
      <c r="Z152" s="11" t="str">
        <f>IFERROR(VLOOKUP(Sales_Raw!$D152,CustomersMasterTable[#All],6,FALSE),"Guest")</f>
        <v>Silver</v>
      </c>
      <c r="AA152" s="17">
        <f>IFERROR(VLOOKUP(Sales_Raw!$D152,CustomersMasterTable[#All],7,FALSE),"Guest")</f>
        <v>45852</v>
      </c>
      <c r="AB152" s="23">
        <f>Master_Data[[#This Row],[Qty]]*Master_Data[[#This Row],[Unit_Price]]</f>
        <v>710.58</v>
      </c>
      <c r="AC152" s="23">
        <f>Master_Data[[#This Row],[Gross_ Sales]]*(1-Master_Data[[#This Row],[Discount Percentage]])</f>
        <v>710.58</v>
      </c>
      <c r="AD152" s="23">
        <f>Master_Data[[#This Row],[Net_Sales]]-(Master_Data[[#This Row],[Qty]]*Master_Data[[#This Row],[Cost_Price]])</f>
        <v>89.700000000000045</v>
      </c>
    </row>
    <row r="153" spans="1:30" ht="29.25">
      <c r="A153" s="13" t="s">
        <v>313</v>
      </c>
      <c r="B153" s="28">
        <f>DATEVALUE(Master_Data[[#This Row],[Sale_Date]])</f>
        <v>46267</v>
      </c>
      <c r="C153" s="13" t="s">
        <v>86</v>
      </c>
      <c r="D153" s="13" t="s">
        <v>83</v>
      </c>
      <c r="E153" s="13" t="str">
        <f>UPPER(TRIM(Sales_Raw!$F153))</f>
        <v>P1017</v>
      </c>
      <c r="F153" s="13" t="s">
        <v>132</v>
      </c>
      <c r="G153" s="13">
        <v>5</v>
      </c>
      <c r="H153" s="14">
        <v>280.87</v>
      </c>
      <c r="I153" s="15">
        <v>0.05</v>
      </c>
      <c r="J153" s="13" t="str">
        <f>UPPER(TRIM(Sales_Raw!$K153))</f>
        <v>UPI</v>
      </c>
      <c r="K153" s="13" t="s">
        <v>22</v>
      </c>
      <c r="L153" s="13" t="str">
        <f>PROPER(TRIM(Sales_Raw!$M153))</f>
        <v>Suramangalam</v>
      </c>
      <c r="M153" s="13" t="s">
        <v>40</v>
      </c>
      <c r="N153" s="12" t="s">
        <v>35</v>
      </c>
      <c r="O153" s="13" t="s">
        <v>65</v>
      </c>
      <c r="P153" s="16" t="str">
        <f>VLOOKUP(Sales_Raw!$E153,ProductsMasterTable[#All],2,FALSE)</f>
        <v>Mineral Water 1L</v>
      </c>
      <c r="Q153" s="16" t="str">
        <f>VLOOKUP(Sales_Raw!$E153,ProductsMasterTable[#All],3,FALSE)</f>
        <v>Beverages</v>
      </c>
      <c r="R153" s="16" t="str">
        <f>VLOOKUP(Sales_Raw!$E153,ProductsMasterTable[#All],4,FALSE)</f>
        <v>Tata</v>
      </c>
      <c r="S153" s="16">
        <f>VLOOKUP(Sales_Raw!$E153,ProductsMasterTable[#All],5,FALSE)</f>
        <v>262.87</v>
      </c>
      <c r="T153" s="16">
        <f>VLOOKUP(Sales_Raw!$E153,ProductsMasterTable[#All],6,FALSE)</f>
        <v>304.76</v>
      </c>
      <c r="U153" s="16" t="str">
        <f>VLOOKUP(Sales_Raw!$E153,ProductsMasterTable[#All],7,FALSE)</f>
        <v>Kongu Distributors</v>
      </c>
      <c r="V153" s="16" t="str">
        <f>IFERROR(VLOOKUP(Sales_Raw!$D153,CustomersMasterTable[#All],2,FALSE),"Guest")</f>
        <v>Anitha M</v>
      </c>
      <c r="W153" s="16" t="str">
        <f>IFERROR(VLOOKUP(Sales_Raw!$D153,CustomersMasterTable[#All],3,FALSE),"Guest")</f>
        <v>Female</v>
      </c>
      <c r="X153" s="16">
        <f>IFERROR(VLOOKUP(Sales_Raw!$D153,CustomersMasterTable[#All],4,FALSE),"Guest")</f>
        <v>68</v>
      </c>
      <c r="Y153" s="16" t="str">
        <f>IFERROR(VLOOKUP(Sales_Raw!$D153,CustomersMasterTable[#All],5,FALSE),"Guest")</f>
        <v>Dharmapuri</v>
      </c>
      <c r="Z153" s="16" t="str">
        <f>IFERROR(VLOOKUP(Sales_Raw!$D153,CustomersMasterTable[#All],6,FALSE),"Guest")</f>
        <v>Silver</v>
      </c>
      <c r="AA153" s="18">
        <f>IFERROR(VLOOKUP(Sales_Raw!$D153,CustomersMasterTable[#All],7,FALSE),"Guest")</f>
        <v>45987</v>
      </c>
      <c r="AB153" s="23">
        <f>Master_Data[[#This Row],[Qty]]*Master_Data[[#This Row],[Unit_Price]]</f>
        <v>1404.35</v>
      </c>
      <c r="AC153" s="23">
        <f>Master_Data[[#This Row],[Gross_ Sales]]*(1-Master_Data[[#This Row],[Discount Percentage]])</f>
        <v>1334.1324999999999</v>
      </c>
      <c r="AD153" s="23">
        <f>Master_Data[[#This Row],[Net_Sales]]-(Master_Data[[#This Row],[Qty]]*Master_Data[[#This Row],[Cost_Price]])</f>
        <v>19.782500000000027</v>
      </c>
    </row>
    <row r="154" spans="1:30" ht="15">
      <c r="A154" s="8" t="s">
        <v>314</v>
      </c>
      <c r="B154" s="27">
        <f>DATEVALUE(Master_Data[[#This Row],[Sale_Date]])</f>
        <v>46258</v>
      </c>
      <c r="C154" s="8" t="s">
        <v>71</v>
      </c>
      <c r="D154" s="8" t="s">
        <v>231</v>
      </c>
      <c r="E154" s="8" t="str">
        <f>UPPER(TRIM(Sales_Raw!$F154))</f>
        <v>P1024</v>
      </c>
      <c r="F154" s="8" t="s">
        <v>207</v>
      </c>
      <c r="G154" s="8">
        <v>1</v>
      </c>
      <c r="H154" s="9">
        <v>147.1</v>
      </c>
      <c r="I154" s="10">
        <v>0</v>
      </c>
      <c r="J154" s="8" t="str">
        <f>UPPER(TRIM(Sales_Raw!$K154))</f>
        <v>CASH</v>
      </c>
      <c r="K154" s="8" t="s">
        <v>14</v>
      </c>
      <c r="L154" s="8" t="str">
        <f>PROPER(TRIM(Sales_Raw!$M154))</f>
        <v>Fairlands</v>
      </c>
      <c r="M154" s="8" t="s">
        <v>15</v>
      </c>
      <c r="N154" s="7" t="s">
        <v>53</v>
      </c>
      <c r="O154" s="8" t="s">
        <v>80</v>
      </c>
      <c r="P154" s="11" t="str">
        <f>VLOOKUP(Sales_Raw!$E154,ProductsMasterTable[#All],2,FALSE)</f>
        <v>Toothpaste 150g</v>
      </c>
      <c r="Q154" s="11" t="str">
        <f>VLOOKUP(Sales_Raw!$E154,ProductsMasterTable[#All],3,FALSE)</f>
        <v>Personal Care</v>
      </c>
      <c r="R154" s="11" t="str">
        <f>VLOOKUP(Sales_Raw!$E154,ProductsMasterTable[#All],4,FALSE)</f>
        <v>Surf</v>
      </c>
      <c r="S154" s="11">
        <f>VLOOKUP(Sales_Raw!$E154,ProductsMasterTable[#All],5,FALSE)</f>
        <v>123.62</v>
      </c>
      <c r="T154" s="11">
        <f>VLOOKUP(Sales_Raw!$E154,ProductsMasterTable[#All],6,FALSE)</f>
        <v>155.08000000000001</v>
      </c>
      <c r="U154" s="11" t="str">
        <f>VLOOKUP(Sales_Raw!$E154,ProductsMasterTable[#All],7,FALSE)</f>
        <v>FreshLine Traders</v>
      </c>
      <c r="V154" s="11" t="str">
        <f>IFERROR(VLOOKUP(Sales_Raw!$D154,CustomersMasterTable[#All],2,FALSE),"Guest")</f>
        <v>Priya Kumar</v>
      </c>
      <c r="W154" s="11" t="str">
        <f>IFERROR(VLOOKUP(Sales_Raw!$D154,CustomersMasterTable[#All],3,FALSE),"Guest")</f>
        <v>Male</v>
      </c>
      <c r="X154" s="11">
        <f>IFERROR(VLOOKUP(Sales_Raw!$D154,CustomersMasterTable[#All],4,FALSE),"Guest")</f>
        <v>23</v>
      </c>
      <c r="Y154" s="11" t="str">
        <f>IFERROR(VLOOKUP(Sales_Raw!$D154,CustomersMasterTable[#All],5,FALSE),"Guest")</f>
        <v>Erode</v>
      </c>
      <c r="Z154" s="11" t="str">
        <f>IFERROR(VLOOKUP(Sales_Raw!$D154,CustomersMasterTable[#All],6,FALSE),"Guest")</f>
        <v>Regular</v>
      </c>
      <c r="AA154" s="17">
        <f>IFERROR(VLOOKUP(Sales_Raw!$D154,CustomersMasterTable[#All],7,FALSE),"Guest")</f>
        <v>46155</v>
      </c>
      <c r="AB154" s="23">
        <f>Master_Data[[#This Row],[Qty]]*Master_Data[[#This Row],[Unit_Price]]</f>
        <v>147.1</v>
      </c>
      <c r="AC154" s="23">
        <f>Master_Data[[#This Row],[Gross_ Sales]]*(1-Master_Data[[#This Row],[Discount Percentage]])</f>
        <v>147.1</v>
      </c>
      <c r="AD154" s="23">
        <f>Master_Data[[#This Row],[Net_Sales]]-(Master_Data[[#This Row],[Qty]]*Master_Data[[#This Row],[Cost_Price]])</f>
        <v>23.47999999999999</v>
      </c>
    </row>
    <row r="155" spans="1:30" ht="29.25">
      <c r="A155" s="13" t="s">
        <v>315</v>
      </c>
      <c r="B155" s="28">
        <f>DATEVALUE(Master_Data[[#This Row],[Sale_Date]])</f>
        <v>46256</v>
      </c>
      <c r="C155" s="13" t="s">
        <v>19</v>
      </c>
      <c r="D155" s="13" t="s">
        <v>227</v>
      </c>
      <c r="E155" s="13" t="str">
        <f>UPPER(TRIM(Sales_Raw!$F155))</f>
        <v>P1002</v>
      </c>
      <c r="F155" s="13" t="s">
        <v>232</v>
      </c>
      <c r="G155" s="13">
        <v>3</v>
      </c>
      <c r="H155" s="14">
        <v>133.86000000000001</v>
      </c>
      <c r="I155" s="15">
        <v>0.15</v>
      </c>
      <c r="J155" s="13" t="str">
        <f>UPPER(TRIM(Sales_Raw!$K155))</f>
        <v>CARD</v>
      </c>
      <c r="K155" s="13" t="s">
        <v>102</v>
      </c>
      <c r="L155" s="13" t="str">
        <f>PROPER(TRIM(Sales_Raw!$M155))</f>
        <v>Suramangalam</v>
      </c>
      <c r="M155" s="13" t="s">
        <v>40</v>
      </c>
      <c r="N155" s="12" t="s">
        <v>35</v>
      </c>
      <c r="O155" s="13" t="s">
        <v>54</v>
      </c>
      <c r="P155" s="16" t="str">
        <f>VLOOKUP(Sales_Raw!$E155,ProductsMasterTable[#All],2,FALSE)</f>
        <v>Wheat Flour 5kg</v>
      </c>
      <c r="Q155" s="16" t="str">
        <f>VLOOKUP(Sales_Raw!$E155,ProductsMasterTable[#All],3,FALSE)</f>
        <v>Staples</v>
      </c>
      <c r="R155" s="16" t="str">
        <f>VLOOKUP(Sales_Raw!$E155,ProductsMasterTable[#All],4,FALSE)</f>
        <v>Cavin's</v>
      </c>
      <c r="S155" s="16">
        <f>VLOOKUP(Sales_Raw!$E155,ProductsMasterTable[#All],5,FALSE)</f>
        <v>107.73</v>
      </c>
      <c r="T155" s="16">
        <f>VLOOKUP(Sales_Raw!$E155,ProductsMasterTable[#All],6,FALSE)</f>
        <v>138.91</v>
      </c>
      <c r="U155" s="16" t="str">
        <f>VLOOKUP(Sales_Raw!$E155,ProductsMasterTable[#All],7,FALSE)</f>
        <v>Salem Wholesale Mart</v>
      </c>
      <c r="V155" s="16" t="str">
        <f>IFERROR(VLOOKUP(Sales_Raw!$D155,CustomersMasterTable[#All],2,FALSE),"Guest")</f>
        <v>Keerthi R</v>
      </c>
      <c r="W155" s="16" t="str">
        <f>IFERROR(VLOOKUP(Sales_Raw!$D155,CustomersMasterTable[#All],3,FALSE),"Guest")</f>
        <v>Female</v>
      </c>
      <c r="X155" s="16">
        <f>IFERROR(VLOOKUP(Sales_Raw!$D155,CustomersMasterTable[#All],4,FALSE),"Guest")</f>
        <v>19</v>
      </c>
      <c r="Y155" s="16" t="str">
        <f>IFERROR(VLOOKUP(Sales_Raw!$D155,CustomersMasterTable[#All],5,FALSE),"Guest")</f>
        <v>Dharmapuri</v>
      </c>
      <c r="Z155" s="16" t="str">
        <f>IFERROR(VLOOKUP(Sales_Raw!$D155,CustomersMasterTable[#All],6,FALSE),"Guest")</f>
        <v>Silver</v>
      </c>
      <c r="AA155" s="18">
        <f>IFERROR(VLOOKUP(Sales_Raw!$D155,CustomersMasterTable[#All],7,FALSE),"Guest")</f>
        <v>45883</v>
      </c>
      <c r="AB155" s="23">
        <f>Master_Data[[#This Row],[Qty]]*Master_Data[[#This Row],[Unit_Price]]</f>
        <v>401.58000000000004</v>
      </c>
      <c r="AC155" s="23">
        <f>Master_Data[[#This Row],[Gross_ Sales]]*(1-Master_Data[[#This Row],[Discount Percentage]])</f>
        <v>341.34300000000002</v>
      </c>
      <c r="AD155" s="23">
        <f>Master_Data[[#This Row],[Net_Sales]]-(Master_Data[[#This Row],[Qty]]*Master_Data[[#This Row],[Cost_Price]])</f>
        <v>18.15300000000002</v>
      </c>
    </row>
    <row r="156" spans="1:30" ht="15">
      <c r="A156" s="8" t="s">
        <v>316</v>
      </c>
      <c r="B156" s="27">
        <f>DATEVALUE(Master_Data[[#This Row],[Sale_Date]])</f>
        <v>46265</v>
      </c>
      <c r="C156" s="8" t="s">
        <v>126</v>
      </c>
      <c r="D156" s="8" t="s">
        <v>12</v>
      </c>
      <c r="E156" s="8" t="str">
        <f>UPPER(TRIM(Sales_Raw!$F156))</f>
        <v>P1006</v>
      </c>
      <c r="F156" s="8" t="s">
        <v>284</v>
      </c>
      <c r="G156" s="8">
        <v>2</v>
      </c>
      <c r="H156" s="9">
        <v>217.5</v>
      </c>
      <c r="I156" s="10">
        <v>0.05</v>
      </c>
      <c r="J156" s="8" t="str">
        <f>UPPER(TRIM(Sales_Raw!$K156))</f>
        <v>UPI</v>
      </c>
      <c r="K156" s="8" t="s">
        <v>22</v>
      </c>
      <c r="L156" s="8" t="str">
        <f>PROPER(TRIM(Sales_Raw!$M156))</f>
        <v>Hasthampatti</v>
      </c>
      <c r="M156" s="8" t="s">
        <v>23</v>
      </c>
      <c r="N156" s="7" t="s">
        <v>24</v>
      </c>
      <c r="O156" s="8" t="s">
        <v>54</v>
      </c>
      <c r="P156" s="11" t="str">
        <f>VLOOKUP(Sales_Raw!$E156,ProductsMasterTable[#All],2,FALSE)</f>
        <v>Salt 1kg</v>
      </c>
      <c r="Q156" s="11" t="str">
        <f>VLOOKUP(Sales_Raw!$E156,ProductsMasterTable[#All],3,FALSE)</f>
        <v>Staples</v>
      </c>
      <c r="R156" s="11" t="str">
        <f>VLOOKUP(Sales_Raw!$E156,ProductsMasterTable[#All],4,FALSE)</f>
        <v>Aachi</v>
      </c>
      <c r="S156" s="11">
        <f>VLOOKUP(Sales_Raw!$E156,ProductsMasterTable[#All],5,FALSE)</f>
        <v>198.58</v>
      </c>
      <c r="T156" s="11">
        <f>VLOOKUP(Sales_Raw!$E156,ProductsMasterTable[#All],6,FALSE)</f>
        <v>235.12</v>
      </c>
      <c r="U156" s="11" t="str">
        <f>VLOOKUP(Sales_Raw!$E156,ProductsMasterTable[#All],7,FALSE)</f>
        <v>Kongu Distributors</v>
      </c>
      <c r="V156" s="11" t="str">
        <f>IFERROR(VLOOKUP(Sales_Raw!$D156,CustomersMasterTable[#All],2,FALSE),"Guest")</f>
        <v>Divya R</v>
      </c>
      <c r="W156" s="11" t="str">
        <f>IFERROR(VLOOKUP(Sales_Raw!$D156,CustomersMasterTable[#All],3,FALSE),"Guest")</f>
        <v>Female</v>
      </c>
      <c r="X156" s="11">
        <f>IFERROR(VLOOKUP(Sales_Raw!$D156,CustomersMasterTable[#All],4,FALSE),"Guest")</f>
        <v>20</v>
      </c>
      <c r="Y156" s="11" t="str">
        <f>IFERROR(VLOOKUP(Sales_Raw!$D156,CustomersMasterTable[#All],5,FALSE),"Guest")</f>
        <v>Coimbatore</v>
      </c>
      <c r="Z156" s="11" t="str">
        <f>IFERROR(VLOOKUP(Sales_Raw!$D156,CustomersMasterTable[#All],6,FALSE),"Guest")</f>
        <v>Regular</v>
      </c>
      <c r="AA156" s="17">
        <f>IFERROR(VLOOKUP(Sales_Raw!$D156,CustomersMasterTable[#All],7,FALSE),"Guest")</f>
        <v>46129</v>
      </c>
      <c r="AB156" s="23">
        <f>Master_Data[[#This Row],[Qty]]*Master_Data[[#This Row],[Unit_Price]]</f>
        <v>435</v>
      </c>
      <c r="AC156" s="23">
        <f>Master_Data[[#This Row],[Gross_ Sales]]*(1-Master_Data[[#This Row],[Discount Percentage]])</f>
        <v>413.25</v>
      </c>
      <c r="AD156" s="23">
        <f>Master_Data[[#This Row],[Net_Sales]]-(Master_Data[[#This Row],[Qty]]*Master_Data[[#This Row],[Cost_Price]])</f>
        <v>16.089999999999975</v>
      </c>
    </row>
    <row r="157" spans="1:30" ht="15">
      <c r="A157" s="13" t="s">
        <v>317</v>
      </c>
      <c r="B157" s="28">
        <f>DATEVALUE(Master_Data[[#This Row],[Sale_Date]])</f>
        <v>46237</v>
      </c>
      <c r="C157" s="13" t="s">
        <v>204</v>
      </c>
      <c r="D157" s="13" t="s">
        <v>83</v>
      </c>
      <c r="E157" s="13" t="str">
        <f>UPPER(TRIM(Sales_Raw!$F157))</f>
        <v>P1007</v>
      </c>
      <c r="F157" s="13" t="s">
        <v>318</v>
      </c>
      <c r="G157" s="13">
        <v>1</v>
      </c>
      <c r="H157" s="14">
        <v>338.27</v>
      </c>
      <c r="I157" s="15">
        <v>0</v>
      </c>
      <c r="J157" s="13" t="str">
        <f>UPPER(TRIM(Sales_Raw!$K157))</f>
        <v>CARD</v>
      </c>
      <c r="K157" s="13" t="s">
        <v>34</v>
      </c>
      <c r="L157" s="13" t="str">
        <f>PROPER(TRIM(Sales_Raw!$M157))</f>
        <v>Hasthampatti</v>
      </c>
      <c r="M157" s="13" t="s">
        <v>23</v>
      </c>
      <c r="N157" s="12" t="s">
        <v>41</v>
      </c>
      <c r="O157" s="13" t="s">
        <v>17</v>
      </c>
      <c r="P157" s="16" t="str">
        <f>VLOOKUP(Sales_Raw!$E157,ProductsMasterTable[#All],2,FALSE)</f>
        <v>Milk 1L</v>
      </c>
      <c r="Q157" s="16" t="str">
        <f>VLOOKUP(Sales_Raw!$E157,ProductsMasterTable[#All],3,FALSE)</f>
        <v>Dairy</v>
      </c>
      <c r="R157" s="16" t="str">
        <f>VLOOKUP(Sales_Raw!$E157,ProductsMasterTable[#All],4,FALSE)</f>
        <v>Britannia</v>
      </c>
      <c r="S157" s="16">
        <f>VLOOKUP(Sales_Raw!$E157,ProductsMasterTable[#All],5,FALSE)</f>
        <v>298.64999999999998</v>
      </c>
      <c r="T157" s="16">
        <f>VLOOKUP(Sales_Raw!$E157,ProductsMasterTable[#All],6,FALSE)</f>
        <v>357.86</v>
      </c>
      <c r="U157" s="16" t="str">
        <f>VLOOKUP(Sales_Raw!$E157,ProductsMasterTable[#All],7,FALSE)</f>
        <v>Kongu Distributors</v>
      </c>
      <c r="V157" s="16" t="str">
        <f>IFERROR(VLOOKUP(Sales_Raw!$D157,CustomersMasterTable[#All],2,FALSE),"Guest")</f>
        <v>Anitha M</v>
      </c>
      <c r="W157" s="16" t="str">
        <f>IFERROR(VLOOKUP(Sales_Raw!$D157,CustomersMasterTable[#All],3,FALSE),"Guest")</f>
        <v>Female</v>
      </c>
      <c r="X157" s="16">
        <f>IFERROR(VLOOKUP(Sales_Raw!$D157,CustomersMasterTable[#All],4,FALSE),"Guest")</f>
        <v>68</v>
      </c>
      <c r="Y157" s="16" t="str">
        <f>IFERROR(VLOOKUP(Sales_Raw!$D157,CustomersMasterTable[#All],5,FALSE),"Guest")</f>
        <v>Dharmapuri</v>
      </c>
      <c r="Z157" s="16" t="str">
        <f>IFERROR(VLOOKUP(Sales_Raw!$D157,CustomersMasterTable[#All],6,FALSE),"Guest")</f>
        <v>Silver</v>
      </c>
      <c r="AA157" s="18">
        <f>IFERROR(VLOOKUP(Sales_Raw!$D157,CustomersMasterTable[#All],7,FALSE),"Guest")</f>
        <v>45987</v>
      </c>
      <c r="AB157" s="23">
        <f>Master_Data[[#This Row],[Qty]]*Master_Data[[#This Row],[Unit_Price]]</f>
        <v>338.27</v>
      </c>
      <c r="AC157" s="23">
        <f>Master_Data[[#This Row],[Gross_ Sales]]*(1-Master_Data[[#This Row],[Discount Percentage]])</f>
        <v>338.27</v>
      </c>
      <c r="AD157" s="23">
        <f>Master_Data[[#This Row],[Net_Sales]]-(Master_Data[[#This Row],[Qty]]*Master_Data[[#This Row],[Cost_Price]])</f>
        <v>39.620000000000005</v>
      </c>
    </row>
    <row r="158" spans="1:30" ht="29.25">
      <c r="A158" s="8" t="s">
        <v>319</v>
      </c>
      <c r="B158" s="27">
        <f>DATEVALUE(Master_Data[[#This Row],[Sale_Date]])</f>
        <v>46265</v>
      </c>
      <c r="C158" s="8" t="s">
        <v>126</v>
      </c>
      <c r="D158" s="8" t="s">
        <v>231</v>
      </c>
      <c r="E158" s="8" t="str">
        <f>UPPER(TRIM(Sales_Raw!$F158))</f>
        <v>P1002</v>
      </c>
      <c r="F158" s="8" t="s">
        <v>232</v>
      </c>
      <c r="G158" s="8">
        <v>6</v>
      </c>
      <c r="H158" s="9">
        <v>129.91999999999999</v>
      </c>
      <c r="I158" s="10">
        <v>0</v>
      </c>
      <c r="J158" s="8" t="str">
        <f>UPPER(TRIM(Sales_Raw!$K158))</f>
        <v>UPI</v>
      </c>
      <c r="K158" s="8" t="s">
        <v>22</v>
      </c>
      <c r="L158" s="8" t="str">
        <f>PROPER(TRIM(Sales_Raw!$M158))</f>
        <v>Suramangalam</v>
      </c>
      <c r="M158" s="8" t="s">
        <v>40</v>
      </c>
      <c r="N158" s="7" t="s">
        <v>16</v>
      </c>
      <c r="O158" s="8" t="s">
        <v>54</v>
      </c>
      <c r="P158" s="11" t="str">
        <f>VLOOKUP(Sales_Raw!$E158,ProductsMasterTable[#All],2,FALSE)</f>
        <v>Wheat Flour 5kg</v>
      </c>
      <c r="Q158" s="11" t="str">
        <f>VLOOKUP(Sales_Raw!$E158,ProductsMasterTable[#All],3,FALSE)</f>
        <v>Staples</v>
      </c>
      <c r="R158" s="11" t="str">
        <f>VLOOKUP(Sales_Raw!$E158,ProductsMasterTable[#All],4,FALSE)</f>
        <v>Cavin's</v>
      </c>
      <c r="S158" s="11">
        <f>VLOOKUP(Sales_Raw!$E158,ProductsMasterTable[#All],5,FALSE)</f>
        <v>107.73</v>
      </c>
      <c r="T158" s="11">
        <f>VLOOKUP(Sales_Raw!$E158,ProductsMasterTable[#All],6,FALSE)</f>
        <v>138.91</v>
      </c>
      <c r="U158" s="11" t="str">
        <f>VLOOKUP(Sales_Raw!$E158,ProductsMasterTable[#All],7,FALSE)</f>
        <v>Salem Wholesale Mart</v>
      </c>
      <c r="V158" s="11" t="str">
        <f>IFERROR(VLOOKUP(Sales_Raw!$D158,CustomersMasterTable[#All],2,FALSE),"Guest")</f>
        <v>Priya Kumar</v>
      </c>
      <c r="W158" s="11" t="str">
        <f>IFERROR(VLOOKUP(Sales_Raw!$D158,CustomersMasterTable[#All],3,FALSE),"Guest")</f>
        <v>Male</v>
      </c>
      <c r="X158" s="11">
        <f>IFERROR(VLOOKUP(Sales_Raw!$D158,CustomersMasterTable[#All],4,FALSE),"Guest")</f>
        <v>23</v>
      </c>
      <c r="Y158" s="11" t="str">
        <f>IFERROR(VLOOKUP(Sales_Raw!$D158,CustomersMasterTable[#All],5,FALSE),"Guest")</f>
        <v>Erode</v>
      </c>
      <c r="Z158" s="11" t="str">
        <f>IFERROR(VLOOKUP(Sales_Raw!$D158,CustomersMasterTable[#All],6,FALSE),"Guest")</f>
        <v>Regular</v>
      </c>
      <c r="AA158" s="17">
        <f>IFERROR(VLOOKUP(Sales_Raw!$D158,CustomersMasterTable[#All],7,FALSE),"Guest")</f>
        <v>46155</v>
      </c>
      <c r="AB158" s="23">
        <f>Master_Data[[#This Row],[Qty]]*Master_Data[[#This Row],[Unit_Price]]</f>
        <v>779.52</v>
      </c>
      <c r="AC158" s="23">
        <f>Master_Data[[#This Row],[Gross_ Sales]]*(1-Master_Data[[#This Row],[Discount Percentage]])</f>
        <v>779.52</v>
      </c>
      <c r="AD158" s="23">
        <f>Master_Data[[#This Row],[Net_Sales]]-(Master_Data[[#This Row],[Qty]]*Master_Data[[#This Row],[Cost_Price]])</f>
        <v>133.13999999999999</v>
      </c>
    </row>
    <row r="159" spans="1:30" ht="15">
      <c r="A159" s="13" t="s">
        <v>320</v>
      </c>
      <c r="B159" s="28">
        <f>DATEVALUE(Master_Data[[#This Row],[Sale_Date]])</f>
        <v>46252</v>
      </c>
      <c r="C159" s="13" t="s">
        <v>197</v>
      </c>
      <c r="D159" s="13" t="s">
        <v>143</v>
      </c>
      <c r="E159" s="13" t="str">
        <f>UPPER(TRIM(Sales_Raw!$F159))</f>
        <v>P1026</v>
      </c>
      <c r="F159" s="13" t="s">
        <v>108</v>
      </c>
      <c r="G159" s="13">
        <v>3</v>
      </c>
      <c r="H159" s="14">
        <v>267.36</v>
      </c>
      <c r="I159" s="15">
        <v>0.05</v>
      </c>
      <c r="J159" s="13" t="str">
        <f>UPPER(TRIM(Sales_Raw!$K159))</f>
        <v>CARD</v>
      </c>
      <c r="K159" s="13" t="s">
        <v>34</v>
      </c>
      <c r="L159" s="13" t="str">
        <f>PROPER(TRIM(Sales_Raw!$M159))</f>
        <v>Hasthampatti</v>
      </c>
      <c r="M159" s="13" t="s">
        <v>23</v>
      </c>
      <c r="N159" s="12" t="s">
        <v>35</v>
      </c>
      <c r="O159" s="13" t="s">
        <v>25</v>
      </c>
      <c r="P159" s="16" t="str">
        <f>VLOOKUP(Sales_Raw!$E159,ProductsMasterTable[#All],2,FALSE)</f>
        <v>Dishwash Liquid</v>
      </c>
      <c r="Q159" s="16" t="str">
        <f>VLOOKUP(Sales_Raw!$E159,ProductsMasterTable[#All],3,FALSE)</f>
        <v>Household</v>
      </c>
      <c r="R159" s="16" t="str">
        <f>VLOOKUP(Sales_Raw!$E159,ProductsMasterTable[#All],4,FALSE)</f>
        <v>Aavin</v>
      </c>
      <c r="S159" s="16">
        <f>VLOOKUP(Sales_Raw!$E159,ProductsMasterTable[#All],5,FALSE)</f>
        <v>216.39</v>
      </c>
      <c r="T159" s="16">
        <f>VLOOKUP(Sales_Raw!$E159,ProductsMasterTable[#All],6,FALSE)</f>
        <v>279.97000000000003</v>
      </c>
      <c r="U159" s="16" t="str">
        <f>VLOOKUP(Sales_Raw!$E159,ProductsMasterTable[#All],7,FALSE)</f>
        <v>Kongu Distributors</v>
      </c>
      <c r="V159" s="16" t="str">
        <f>IFERROR(VLOOKUP(Sales_Raw!$D159,CustomersMasterTable[#All],2,FALSE),"Guest")</f>
        <v>Anitha Selvam</v>
      </c>
      <c r="W159" s="16" t="str">
        <f>IFERROR(VLOOKUP(Sales_Raw!$D159,CustomersMasterTable[#All],3,FALSE),"Guest")</f>
        <v>Female</v>
      </c>
      <c r="X159" s="16">
        <f>IFERROR(VLOOKUP(Sales_Raw!$D159,CustomersMasterTable[#All],4,FALSE),"Guest")</f>
        <v>46</v>
      </c>
      <c r="Y159" s="16" t="str">
        <f>IFERROR(VLOOKUP(Sales_Raw!$D159,CustomersMasterTable[#All],5,FALSE),"Guest")</f>
        <v>Dharmapuri</v>
      </c>
      <c r="Z159" s="16" t="str">
        <f>IFERROR(VLOOKUP(Sales_Raw!$D159,CustomersMasterTable[#All],6,FALSE),"Guest")</f>
        <v>Regular</v>
      </c>
      <c r="AA159" s="18">
        <f>IFERROR(VLOOKUP(Sales_Raw!$D159,CustomersMasterTable[#All],7,FALSE),"Guest")</f>
        <v>45911</v>
      </c>
      <c r="AB159" s="23">
        <f>Master_Data[[#This Row],[Qty]]*Master_Data[[#This Row],[Unit_Price]]</f>
        <v>802.08</v>
      </c>
      <c r="AC159" s="23">
        <f>Master_Data[[#This Row],[Gross_ Sales]]*(1-Master_Data[[#This Row],[Discount Percentage]])</f>
        <v>761.976</v>
      </c>
      <c r="AD159" s="23">
        <f>Master_Data[[#This Row],[Net_Sales]]-(Master_Data[[#This Row],[Qty]]*Master_Data[[#This Row],[Cost_Price]])</f>
        <v>112.80600000000004</v>
      </c>
    </row>
    <row r="160" spans="1:30" ht="15">
      <c r="A160" s="8" t="s">
        <v>321</v>
      </c>
      <c r="B160" s="27">
        <f>DATEVALUE(Master_Data[[#This Row],[Sale_Date]])</f>
        <v>46256</v>
      </c>
      <c r="C160" s="8" t="s">
        <v>19</v>
      </c>
      <c r="D160" s="8" t="s">
        <v>312</v>
      </c>
      <c r="E160" s="8" t="str">
        <f>UPPER(TRIM(Sales_Raw!$F160))</f>
        <v>P1016</v>
      </c>
      <c r="F160" s="8" t="s">
        <v>93</v>
      </c>
      <c r="G160" s="8">
        <v>6</v>
      </c>
      <c r="H160" s="9">
        <v>187.04</v>
      </c>
      <c r="I160" s="10">
        <v>0.1</v>
      </c>
      <c r="J160" s="8" t="str">
        <f>UPPER(TRIM(Sales_Raw!$K160))</f>
        <v>CASH</v>
      </c>
      <c r="K160" s="8" t="s">
        <v>14</v>
      </c>
      <c r="L160" s="8" t="str">
        <f>PROPER(TRIM(Sales_Raw!$M160))</f>
        <v>Fairlands</v>
      </c>
      <c r="M160" s="8" t="s">
        <v>15</v>
      </c>
      <c r="N160" s="7" t="s">
        <v>35</v>
      </c>
      <c r="O160" s="8" t="s">
        <v>30</v>
      </c>
      <c r="P160" s="11" t="str">
        <f>VLOOKUP(Sales_Raw!$E160,ProductsMasterTable[#All],2,FALSE)</f>
        <v>Chocolate Bar</v>
      </c>
      <c r="Q160" s="11" t="str">
        <f>VLOOKUP(Sales_Raw!$E160,ProductsMasterTable[#All],3,FALSE)</f>
        <v>Snacks</v>
      </c>
      <c r="R160" s="11" t="str">
        <f>VLOOKUP(Sales_Raw!$E160,ProductsMasterTable[#All],4,FALSE)</f>
        <v>Nestle</v>
      </c>
      <c r="S160" s="11">
        <f>VLOOKUP(Sales_Raw!$E160,ProductsMasterTable[#All],5,FALSE)</f>
        <v>166.81</v>
      </c>
      <c r="T160" s="11">
        <f>VLOOKUP(Sales_Raw!$E160,ProductsMasterTable[#All],6,FALSE)</f>
        <v>194.87</v>
      </c>
      <c r="U160" s="11" t="str">
        <f>VLOOKUP(Sales_Raw!$E160,ProductsMasterTable[#All],7,FALSE)</f>
        <v>Salem Wholesale Mart</v>
      </c>
      <c r="V160" s="11" t="str">
        <f>IFERROR(VLOOKUP(Sales_Raw!$D160,CustomersMasterTable[#All],2,FALSE),"Guest")</f>
        <v>Vignesh Shree</v>
      </c>
      <c r="W160" s="11" t="str">
        <f>IFERROR(VLOOKUP(Sales_Raw!$D160,CustomersMasterTable[#All],3,FALSE),"Guest")</f>
        <v>Female</v>
      </c>
      <c r="X160" s="11">
        <f>IFERROR(VLOOKUP(Sales_Raw!$D160,CustomersMasterTable[#All],4,FALSE),"Guest")</f>
        <v>33</v>
      </c>
      <c r="Y160" s="11" t="str">
        <f>IFERROR(VLOOKUP(Sales_Raw!$D160,CustomersMasterTable[#All],5,FALSE),"Guest")</f>
        <v>Coimbatore</v>
      </c>
      <c r="Z160" s="11" t="str">
        <f>IFERROR(VLOOKUP(Sales_Raw!$D160,CustomersMasterTable[#All],6,FALSE),"Guest")</f>
        <v>Silver</v>
      </c>
      <c r="AA160" s="17">
        <f>IFERROR(VLOOKUP(Sales_Raw!$D160,CustomersMasterTable[#All],7,FALSE),"Guest")</f>
        <v>45852</v>
      </c>
      <c r="AB160" s="23">
        <f>Master_Data[[#This Row],[Qty]]*Master_Data[[#This Row],[Unit_Price]]</f>
        <v>1122.24</v>
      </c>
      <c r="AC160" s="23">
        <f>Master_Data[[#This Row],[Gross_ Sales]]*(1-Master_Data[[#This Row],[Discount Percentage]])</f>
        <v>1010.0160000000001</v>
      </c>
      <c r="AD160" s="23">
        <f>Master_Data[[#This Row],[Net_Sales]]-(Master_Data[[#This Row],[Qty]]*Master_Data[[#This Row],[Cost_Price]])</f>
        <v>9.1560000000000628</v>
      </c>
    </row>
    <row r="161" spans="1:30" ht="15">
      <c r="A161" s="13" t="s">
        <v>322</v>
      </c>
      <c r="B161" s="28">
        <f>DATEVALUE(Master_Data[[#This Row],[Sale_Date]])</f>
        <v>46240</v>
      </c>
      <c r="C161" s="13" t="s">
        <v>182</v>
      </c>
      <c r="D161" s="13" t="s">
        <v>242</v>
      </c>
      <c r="E161" s="13" t="str">
        <f>UPPER(TRIM(Sales_Raw!$F161))</f>
        <v>P1020</v>
      </c>
      <c r="F161" s="13" t="s">
        <v>73</v>
      </c>
      <c r="G161" s="13">
        <v>2</v>
      </c>
      <c r="H161" s="14">
        <v>438.14</v>
      </c>
      <c r="I161" s="15">
        <v>0</v>
      </c>
      <c r="J161" s="13" t="str">
        <f>UPPER(TRIM(Sales_Raw!$K161))</f>
        <v>UPI</v>
      </c>
      <c r="K161" s="13" t="s">
        <v>22</v>
      </c>
      <c r="L161" s="13" t="str">
        <f>PROPER(TRIM(Sales_Raw!$M161))</f>
        <v>Fairlands</v>
      </c>
      <c r="M161" s="13" t="s">
        <v>15</v>
      </c>
      <c r="N161" s="12" t="s">
        <v>16</v>
      </c>
      <c r="O161" s="13" t="s">
        <v>65</v>
      </c>
      <c r="P161" s="16" t="str">
        <f>VLOOKUP(Sales_Raw!$E161,ProductsMasterTable[#All],2,FALSE)</f>
        <v>Tea 250g</v>
      </c>
      <c r="Q161" s="16" t="str">
        <f>VLOOKUP(Sales_Raw!$E161,ProductsMasterTable[#All],3,FALSE)</f>
        <v>Beverages</v>
      </c>
      <c r="R161" s="16" t="str">
        <f>VLOOKUP(Sales_Raw!$E161,ProductsMasterTable[#All],4,FALSE)</f>
        <v>ITC</v>
      </c>
      <c r="S161" s="16">
        <f>VLOOKUP(Sales_Raw!$E161,ProductsMasterTable[#All],5,FALSE)</f>
        <v>348.36</v>
      </c>
      <c r="T161" s="16">
        <f>VLOOKUP(Sales_Raw!$E161,ProductsMasterTable[#All],6,FALSE)</f>
        <v>454.67</v>
      </c>
      <c r="U161" s="16" t="str">
        <f>VLOOKUP(Sales_Raw!$E161,ProductsMasterTable[#All],7,FALSE)</f>
        <v>Metro Supply Co</v>
      </c>
      <c r="V161" s="16" t="str">
        <f>IFERROR(VLOOKUP(Sales_Raw!$D161,CustomersMasterTable[#All],2,FALSE),"Guest")</f>
        <v>Meena Priyan</v>
      </c>
      <c r="W161" s="16" t="str">
        <f>IFERROR(VLOOKUP(Sales_Raw!$D161,CustomersMasterTable[#All],3,FALSE),"Guest")</f>
        <v>Male</v>
      </c>
      <c r="X161" s="16">
        <f>IFERROR(VLOOKUP(Sales_Raw!$D161,CustomersMasterTable[#All],4,FALSE),"Guest")</f>
        <v>50</v>
      </c>
      <c r="Y161" s="16" t="str">
        <f>IFERROR(VLOOKUP(Sales_Raw!$D161,CustomersMasterTable[#All],5,FALSE),"Guest")</f>
        <v>Namakkal</v>
      </c>
      <c r="Z161" s="16" t="str">
        <f>IFERROR(VLOOKUP(Sales_Raw!$D161,CustomersMasterTable[#All],6,FALSE),"Guest")</f>
        <v>Regular</v>
      </c>
      <c r="AA161" s="18">
        <f>IFERROR(VLOOKUP(Sales_Raw!$D161,CustomersMasterTable[#All],7,FALSE),"Guest")</f>
        <v>46015</v>
      </c>
      <c r="AB161" s="23">
        <f>Master_Data[[#This Row],[Qty]]*Master_Data[[#This Row],[Unit_Price]]</f>
        <v>876.28</v>
      </c>
      <c r="AC161" s="23">
        <f>Master_Data[[#This Row],[Gross_ Sales]]*(1-Master_Data[[#This Row],[Discount Percentage]])</f>
        <v>876.28</v>
      </c>
      <c r="AD161" s="23">
        <f>Master_Data[[#This Row],[Net_Sales]]-(Master_Data[[#This Row],[Qty]]*Master_Data[[#This Row],[Cost_Price]])</f>
        <v>179.55999999999995</v>
      </c>
    </row>
    <row r="162" spans="1:30" ht="15">
      <c r="A162" s="8" t="s">
        <v>323</v>
      </c>
      <c r="B162" s="27">
        <f>DATEVALUE(Master_Data[[#This Row],[Sale_Date]])</f>
        <v>46253</v>
      </c>
      <c r="C162" s="8" t="s">
        <v>199</v>
      </c>
      <c r="D162" s="8" t="s">
        <v>205</v>
      </c>
      <c r="E162" s="8" t="str">
        <f>UPPER(TRIM(Sales_Raw!$F162))</f>
        <v>P1015</v>
      </c>
      <c r="F162" s="8" t="s">
        <v>48</v>
      </c>
      <c r="G162" s="8">
        <v>5</v>
      </c>
      <c r="H162" s="9">
        <v>160.58000000000001</v>
      </c>
      <c r="I162" s="10">
        <v>0</v>
      </c>
      <c r="J162" s="8" t="str">
        <f>UPPER(TRIM(Sales_Raw!$K162))</f>
        <v>CARD</v>
      </c>
      <c r="K162" s="8" t="s">
        <v>34</v>
      </c>
      <c r="L162" s="8" t="str">
        <f>PROPER(TRIM(Sales_Raw!$M162))</f>
        <v>Hasthampatti</v>
      </c>
      <c r="M162" s="8" t="s">
        <v>23</v>
      </c>
      <c r="N162" s="7" t="s">
        <v>16</v>
      </c>
      <c r="O162" s="8" t="s">
        <v>30</v>
      </c>
      <c r="P162" s="11" t="str">
        <f>VLOOKUP(Sales_Raw!$E162,ProductsMasterTable[#All],2,FALSE)</f>
        <v>Biscuits Pack</v>
      </c>
      <c r="Q162" s="11" t="str">
        <f>VLOOKUP(Sales_Raw!$E162,ProductsMasterTable[#All],3,FALSE)</f>
        <v>Snacks</v>
      </c>
      <c r="R162" s="11" t="str">
        <f>VLOOKUP(Sales_Raw!$E162,ProductsMasterTable[#All],4,FALSE)</f>
        <v>HUL</v>
      </c>
      <c r="S162" s="11">
        <f>VLOOKUP(Sales_Raw!$E162,ProductsMasterTable[#All],5,FALSE)</f>
        <v>129.75</v>
      </c>
      <c r="T162" s="11">
        <f>VLOOKUP(Sales_Raw!$E162,ProductsMasterTable[#All],6,FALSE)</f>
        <v>164.29</v>
      </c>
      <c r="U162" s="11" t="str">
        <f>VLOOKUP(Sales_Raw!$E162,ProductsMasterTable[#All],7,FALSE)</f>
        <v>Kongu Distributors</v>
      </c>
      <c r="V162" s="11" t="str">
        <f>IFERROR(VLOOKUP(Sales_Raw!$D162,CustomersMasterTable[#All],2,FALSE),"Guest")</f>
        <v>Nithya S</v>
      </c>
      <c r="W162" s="11" t="str">
        <f>IFERROR(VLOOKUP(Sales_Raw!$D162,CustomersMasterTable[#All],3,FALSE),"Guest")</f>
        <v>Male</v>
      </c>
      <c r="X162" s="11">
        <f>IFERROR(VLOOKUP(Sales_Raw!$D162,CustomersMasterTable[#All],4,FALSE),"Guest")</f>
        <v>36</v>
      </c>
      <c r="Y162" s="11" t="str">
        <f>IFERROR(VLOOKUP(Sales_Raw!$D162,CustomersMasterTable[#All],5,FALSE),"Guest")</f>
        <v>Erode</v>
      </c>
      <c r="Z162" s="11" t="str">
        <f>IFERROR(VLOOKUP(Sales_Raw!$D162,CustomersMasterTable[#All],6,FALSE),"Guest")</f>
        <v>Gold</v>
      </c>
      <c r="AA162" s="17">
        <f>IFERROR(VLOOKUP(Sales_Raw!$D162,CustomersMasterTable[#All],7,FALSE),"Guest")</f>
        <v>46251</v>
      </c>
      <c r="AB162" s="23">
        <f>Master_Data[[#This Row],[Qty]]*Master_Data[[#This Row],[Unit_Price]]</f>
        <v>802.90000000000009</v>
      </c>
      <c r="AC162" s="23">
        <f>Master_Data[[#This Row],[Gross_ Sales]]*(1-Master_Data[[#This Row],[Discount Percentage]])</f>
        <v>802.90000000000009</v>
      </c>
      <c r="AD162" s="23">
        <f>Master_Data[[#This Row],[Net_Sales]]-(Master_Data[[#This Row],[Qty]]*Master_Data[[#This Row],[Cost_Price]])</f>
        <v>154.15000000000009</v>
      </c>
    </row>
    <row r="163" spans="1:30" ht="29.25">
      <c r="A163" s="13" t="s">
        <v>324</v>
      </c>
      <c r="B163" s="28">
        <f>DATEVALUE(Master_Data[[#This Row],[Sale_Date]])</f>
        <v>46263</v>
      </c>
      <c r="C163" s="13" t="s">
        <v>325</v>
      </c>
      <c r="D163" s="13" t="s">
        <v>153</v>
      </c>
      <c r="E163" s="13" t="str">
        <f>UPPER(TRIM(Sales_Raw!$F163))</f>
        <v>P1024</v>
      </c>
      <c r="F163" s="13" t="s">
        <v>207</v>
      </c>
      <c r="G163" s="13">
        <v>3</v>
      </c>
      <c r="H163" s="14">
        <v>150.30000000000001</v>
      </c>
      <c r="I163" s="15">
        <v>0.05</v>
      </c>
      <c r="J163" s="13" t="str">
        <f>UPPER(TRIM(Sales_Raw!$K163))</f>
        <v>CASH</v>
      </c>
      <c r="K163" s="13" t="s">
        <v>14</v>
      </c>
      <c r="L163" s="13" t="str">
        <f>PROPER(TRIM(Sales_Raw!$M163))</f>
        <v>Suramangalam</v>
      </c>
      <c r="M163" s="13" t="s">
        <v>40</v>
      </c>
      <c r="N163" s="12" t="s">
        <v>53</v>
      </c>
      <c r="O163" s="13" t="s">
        <v>80</v>
      </c>
      <c r="P163" s="16" t="str">
        <f>VLOOKUP(Sales_Raw!$E163,ProductsMasterTable[#All],2,FALSE)</f>
        <v>Toothpaste 150g</v>
      </c>
      <c r="Q163" s="16" t="str">
        <f>VLOOKUP(Sales_Raw!$E163,ProductsMasterTable[#All],3,FALSE)</f>
        <v>Personal Care</v>
      </c>
      <c r="R163" s="16" t="str">
        <f>VLOOKUP(Sales_Raw!$E163,ProductsMasterTable[#All],4,FALSE)</f>
        <v>Surf</v>
      </c>
      <c r="S163" s="16">
        <f>VLOOKUP(Sales_Raw!$E163,ProductsMasterTable[#All],5,FALSE)</f>
        <v>123.62</v>
      </c>
      <c r="T163" s="16">
        <f>VLOOKUP(Sales_Raw!$E163,ProductsMasterTable[#All],6,FALSE)</f>
        <v>155.08000000000001</v>
      </c>
      <c r="U163" s="16" t="str">
        <f>VLOOKUP(Sales_Raw!$E163,ProductsMasterTable[#All],7,FALSE)</f>
        <v>FreshLine Traders</v>
      </c>
      <c r="V163" s="16" t="str">
        <f>IFERROR(VLOOKUP(Sales_Raw!$D163,CustomersMasterTable[#All],2,FALSE),"Guest")</f>
        <v>Janani M</v>
      </c>
      <c r="W163" s="16" t="str">
        <f>IFERROR(VLOOKUP(Sales_Raw!$D163,CustomersMasterTable[#All],3,FALSE),"Guest")</f>
        <v>Male</v>
      </c>
      <c r="X163" s="16">
        <f>IFERROR(VLOOKUP(Sales_Raw!$D163,CustomersMasterTable[#All],4,FALSE),"Guest")</f>
        <v>41</v>
      </c>
      <c r="Y163" s="16" t="str">
        <f>IFERROR(VLOOKUP(Sales_Raw!$D163,CustomersMasterTable[#All],5,FALSE),"Guest")</f>
        <v>Erode</v>
      </c>
      <c r="Z163" s="16" t="str">
        <f>IFERROR(VLOOKUP(Sales_Raw!$D163,CustomersMasterTable[#All],6,FALSE),"Guest")</f>
        <v>Regular</v>
      </c>
      <c r="AA163" s="18">
        <f>IFERROR(VLOOKUP(Sales_Raw!$D163,CustomersMasterTable[#All],7,FALSE),"Guest")</f>
        <v>46201</v>
      </c>
      <c r="AB163" s="23">
        <f>Master_Data[[#This Row],[Qty]]*Master_Data[[#This Row],[Unit_Price]]</f>
        <v>450.90000000000003</v>
      </c>
      <c r="AC163" s="23">
        <f>Master_Data[[#This Row],[Gross_ Sales]]*(1-Master_Data[[#This Row],[Discount Percentage]])</f>
        <v>428.35500000000002</v>
      </c>
      <c r="AD163" s="23">
        <f>Master_Data[[#This Row],[Net_Sales]]-(Master_Data[[#This Row],[Qty]]*Master_Data[[#This Row],[Cost_Price]])</f>
        <v>57.495000000000005</v>
      </c>
    </row>
    <row r="164" spans="1:30" ht="15">
      <c r="A164" s="8" t="s">
        <v>326</v>
      </c>
      <c r="B164" s="27">
        <f>DATEVALUE(Master_Data[[#This Row],[Sale_Date]])</f>
        <v>46239</v>
      </c>
      <c r="C164" s="8" t="s">
        <v>61</v>
      </c>
      <c r="D164" s="8" t="s">
        <v>51</v>
      </c>
      <c r="E164" s="8" t="str">
        <f>UPPER(TRIM(Sales_Raw!$F164))</f>
        <v>P1021</v>
      </c>
      <c r="F164" s="8" t="s">
        <v>63</v>
      </c>
      <c r="G164" s="8">
        <v>4</v>
      </c>
      <c r="H164" s="9">
        <v>56.31</v>
      </c>
      <c r="I164" s="10">
        <v>0.15</v>
      </c>
      <c r="J164" s="8" t="str">
        <f>UPPER(TRIM(Sales_Raw!$K164))</f>
        <v>CARD</v>
      </c>
      <c r="K164" s="8" t="s">
        <v>34</v>
      </c>
      <c r="L164" s="8" t="str">
        <f>PROPER(TRIM(Sales_Raw!$M164))</f>
        <v>Fairlands</v>
      </c>
      <c r="M164" s="8" t="s">
        <v>15</v>
      </c>
      <c r="N164" s="7" t="s">
        <v>53</v>
      </c>
      <c r="O164" s="8" t="s">
        <v>65</v>
      </c>
      <c r="P164" s="11" t="str">
        <f>VLOOKUP(Sales_Raw!$E164,ProductsMasterTable[#All],2,FALSE)</f>
        <v>Coffee 200g</v>
      </c>
      <c r="Q164" s="11" t="str">
        <f>VLOOKUP(Sales_Raw!$E164,ProductsMasterTable[#All],3,FALSE)</f>
        <v>Beverages</v>
      </c>
      <c r="R164" s="11" t="str">
        <f>VLOOKUP(Sales_Raw!$E164,ProductsMasterTable[#All],4,FALSE)</f>
        <v>Surf</v>
      </c>
      <c r="S164" s="11">
        <f>VLOOKUP(Sales_Raw!$E164,ProductsMasterTable[#All],5,FALSE)</f>
        <v>44.61</v>
      </c>
      <c r="T164" s="11">
        <f>VLOOKUP(Sales_Raw!$E164,ProductsMasterTable[#All],6,FALSE)</f>
        <v>59.33</v>
      </c>
      <c r="U164" s="11" t="str">
        <f>VLOOKUP(Sales_Raw!$E164,ProductsMasterTable[#All],7,FALSE)</f>
        <v>Metro Supply Co</v>
      </c>
      <c r="V164" s="11" t="str">
        <f>IFERROR(VLOOKUP(Sales_Raw!$D164,CustomersMasterTable[#All],2,FALSE),"Guest")</f>
        <v>Harish Raj</v>
      </c>
      <c r="W164" s="11" t="str">
        <f>IFERROR(VLOOKUP(Sales_Raw!$D164,CustomersMasterTable[#All],3,FALSE),"Guest")</f>
        <v>Male</v>
      </c>
      <c r="X164" s="11">
        <f>IFERROR(VLOOKUP(Sales_Raw!$D164,CustomersMasterTable[#All],4,FALSE),"Guest")</f>
        <v>67</v>
      </c>
      <c r="Y164" s="11" t="str">
        <f>IFERROR(VLOOKUP(Sales_Raw!$D164,CustomersMasterTable[#All],5,FALSE),"Guest")</f>
        <v>Namakkal</v>
      </c>
      <c r="Z164" s="11" t="str">
        <f>IFERROR(VLOOKUP(Sales_Raw!$D164,CustomersMasterTable[#All],6,FALSE),"Guest")</f>
        <v>Regular</v>
      </c>
      <c r="AA164" s="17">
        <f>IFERROR(VLOOKUP(Sales_Raw!$D164,CustomersMasterTable[#All],7,FALSE),"Guest")</f>
        <v>46179</v>
      </c>
      <c r="AB164" s="23">
        <f>Master_Data[[#This Row],[Qty]]*Master_Data[[#This Row],[Unit_Price]]</f>
        <v>225.24</v>
      </c>
      <c r="AC164" s="23">
        <f>Master_Data[[#This Row],[Gross_ Sales]]*(1-Master_Data[[#This Row],[Discount Percentage]])</f>
        <v>191.45400000000001</v>
      </c>
      <c r="AD164" s="23">
        <f>Master_Data[[#This Row],[Net_Sales]]-(Master_Data[[#This Row],[Qty]]*Master_Data[[#This Row],[Cost_Price]])</f>
        <v>13.01400000000001</v>
      </c>
    </row>
    <row r="165" spans="1:30" ht="15">
      <c r="A165" s="13" t="s">
        <v>327</v>
      </c>
      <c r="B165" s="28">
        <f>DATEVALUE(Master_Data[[#This Row],[Sale_Date]])</f>
        <v>46244</v>
      </c>
      <c r="C165" s="13" t="s">
        <v>67</v>
      </c>
      <c r="D165" s="13" t="s">
        <v>183</v>
      </c>
      <c r="E165" s="13" t="str">
        <f>UPPER(TRIM(Sales_Raw!$F165))</f>
        <v>P1020</v>
      </c>
      <c r="F165" s="13" t="s">
        <v>73</v>
      </c>
      <c r="G165" s="13">
        <v>6</v>
      </c>
      <c r="H165" s="14">
        <v>446.72</v>
      </c>
      <c r="I165" s="15">
        <v>0</v>
      </c>
      <c r="J165" s="13" t="str">
        <f>UPPER(TRIM(Sales_Raw!$K165))</f>
        <v>UPI</v>
      </c>
      <c r="K165" s="13" t="s">
        <v>22</v>
      </c>
      <c r="L165" s="13" t="str">
        <f>PROPER(TRIM(Sales_Raw!$M165))</f>
        <v>Fairlands</v>
      </c>
      <c r="M165" s="13" t="s">
        <v>15</v>
      </c>
      <c r="N165" s="12" t="s">
        <v>24</v>
      </c>
      <c r="O165" s="13" t="s">
        <v>65</v>
      </c>
      <c r="P165" s="16" t="str">
        <f>VLOOKUP(Sales_Raw!$E165,ProductsMasterTable[#All],2,FALSE)</f>
        <v>Tea 250g</v>
      </c>
      <c r="Q165" s="16" t="str">
        <f>VLOOKUP(Sales_Raw!$E165,ProductsMasterTable[#All],3,FALSE)</f>
        <v>Beverages</v>
      </c>
      <c r="R165" s="16" t="str">
        <f>VLOOKUP(Sales_Raw!$E165,ProductsMasterTable[#All],4,FALSE)</f>
        <v>ITC</v>
      </c>
      <c r="S165" s="16">
        <f>VLOOKUP(Sales_Raw!$E165,ProductsMasterTable[#All],5,FALSE)</f>
        <v>348.36</v>
      </c>
      <c r="T165" s="16">
        <f>VLOOKUP(Sales_Raw!$E165,ProductsMasterTable[#All],6,FALSE)</f>
        <v>454.67</v>
      </c>
      <c r="U165" s="16" t="str">
        <f>VLOOKUP(Sales_Raw!$E165,ProductsMasterTable[#All],7,FALSE)</f>
        <v>Metro Supply Co</v>
      </c>
      <c r="V165" s="16" t="str">
        <f>IFERROR(VLOOKUP(Sales_Raw!$D165,CustomersMasterTable[#All],2,FALSE),"Guest")</f>
        <v>Karthik Selvam</v>
      </c>
      <c r="W165" s="16" t="str">
        <f>IFERROR(VLOOKUP(Sales_Raw!$D165,CustomersMasterTable[#All],3,FALSE),"Guest")</f>
        <v>Male</v>
      </c>
      <c r="X165" s="16">
        <f>IFERROR(VLOOKUP(Sales_Raw!$D165,CustomersMasterTable[#All],4,FALSE),"Guest")</f>
        <v>63</v>
      </c>
      <c r="Y165" s="16" t="str">
        <f>IFERROR(VLOOKUP(Sales_Raw!$D165,CustomersMasterTable[#All],5,FALSE),"Guest")</f>
        <v>Karur</v>
      </c>
      <c r="Z165" s="16" t="str">
        <f>IFERROR(VLOOKUP(Sales_Raw!$D165,CustomersMasterTable[#All],6,FALSE),"Guest")</f>
        <v>Regular</v>
      </c>
      <c r="AA165" s="18">
        <f>IFERROR(VLOOKUP(Sales_Raw!$D165,CustomersMasterTable[#All],7,FALSE),"Guest")</f>
        <v>46067</v>
      </c>
      <c r="AB165" s="23">
        <f>Master_Data[[#This Row],[Qty]]*Master_Data[[#This Row],[Unit_Price]]</f>
        <v>2680.32</v>
      </c>
      <c r="AC165" s="23">
        <f>Master_Data[[#This Row],[Gross_ Sales]]*(1-Master_Data[[#This Row],[Discount Percentage]])</f>
        <v>2680.32</v>
      </c>
      <c r="AD165" s="23">
        <f>Master_Data[[#This Row],[Net_Sales]]-(Master_Data[[#This Row],[Qty]]*Master_Data[[#This Row],[Cost_Price]])</f>
        <v>590.16000000000031</v>
      </c>
    </row>
    <row r="166" spans="1:30" ht="15">
      <c r="A166" s="8" t="s">
        <v>328</v>
      </c>
      <c r="B166" s="27">
        <f>DATEVALUE(Master_Data[[#This Row],[Sale_Date]])</f>
        <v>46258</v>
      </c>
      <c r="C166" s="8" t="s">
        <v>71</v>
      </c>
      <c r="D166" s="8" t="s">
        <v>249</v>
      </c>
      <c r="E166" s="8" t="str">
        <f>UPPER(TRIM(Sales_Raw!$F166))</f>
        <v>P1013</v>
      </c>
      <c r="F166" s="8" t="s">
        <v>176</v>
      </c>
      <c r="G166" s="8">
        <v>5</v>
      </c>
      <c r="H166" s="9">
        <v>99.88</v>
      </c>
      <c r="I166" s="10">
        <v>0</v>
      </c>
      <c r="J166" s="8" t="str">
        <f>UPPER(TRIM(Sales_Raw!$K166))</f>
        <v>CARD</v>
      </c>
      <c r="K166" s="8" t="s">
        <v>34</v>
      </c>
      <c r="L166" s="8" t="str">
        <f>PROPER(TRIM(Sales_Raw!$M166))</f>
        <v>Hasthampatti</v>
      </c>
      <c r="M166" s="8" t="s">
        <v>23</v>
      </c>
      <c r="N166" s="7" t="s">
        <v>16</v>
      </c>
      <c r="O166" s="8" t="s">
        <v>30</v>
      </c>
      <c r="P166" s="11" t="str">
        <f>VLOOKUP(Sales_Raw!$E166,ProductsMasterTable[#All],2,FALSE)</f>
        <v>Banana Chips</v>
      </c>
      <c r="Q166" s="11" t="str">
        <f>VLOOKUP(Sales_Raw!$E166,ProductsMasterTable[#All],3,FALSE)</f>
        <v>Snacks</v>
      </c>
      <c r="R166" s="11" t="str">
        <f>VLOOKUP(Sales_Raw!$E166,ProductsMasterTable[#All],4,FALSE)</f>
        <v>Tata</v>
      </c>
      <c r="S166" s="11">
        <f>VLOOKUP(Sales_Raw!$E166,ProductsMasterTable[#All],5,FALSE)</f>
        <v>95.3</v>
      </c>
      <c r="T166" s="11">
        <f>VLOOKUP(Sales_Raw!$E166,ProductsMasterTable[#All],6,FALSE)</f>
        <v>108.26</v>
      </c>
      <c r="U166" s="11" t="str">
        <f>VLOOKUP(Sales_Raw!$E166,ProductsMasterTable[#All],7,FALSE)</f>
        <v>Metro Supply Co</v>
      </c>
      <c r="V166" s="11" t="str">
        <f>IFERROR(VLOOKUP(Sales_Raw!$D166,CustomersMasterTable[#All],2,FALSE),"Guest")</f>
        <v>Keerthi Shree</v>
      </c>
      <c r="W166" s="11" t="str">
        <f>IFERROR(VLOOKUP(Sales_Raw!$D166,CustomersMasterTable[#All],3,FALSE),"Guest")</f>
        <v>Male</v>
      </c>
      <c r="X166" s="11">
        <f>IFERROR(VLOOKUP(Sales_Raw!$D166,CustomersMasterTable[#All],4,FALSE),"Guest")</f>
        <v>57</v>
      </c>
      <c r="Y166" s="11" t="str">
        <f>IFERROR(VLOOKUP(Sales_Raw!$D166,CustomersMasterTable[#All],5,FALSE),"Guest")</f>
        <v>Salem</v>
      </c>
      <c r="Z166" s="11" t="str">
        <f>IFERROR(VLOOKUP(Sales_Raw!$D166,CustomersMasterTable[#All],6,FALSE),"Guest")</f>
        <v>Regular</v>
      </c>
      <c r="AA166" s="17">
        <f>IFERROR(VLOOKUP(Sales_Raw!$D166,CustomersMasterTable[#All],7,FALSE),"Guest")</f>
        <v>46255</v>
      </c>
      <c r="AB166" s="23">
        <f>Master_Data[[#This Row],[Qty]]*Master_Data[[#This Row],[Unit_Price]]</f>
        <v>499.4</v>
      </c>
      <c r="AC166" s="23">
        <f>Master_Data[[#This Row],[Gross_ Sales]]*(1-Master_Data[[#This Row],[Discount Percentage]])</f>
        <v>499.4</v>
      </c>
      <c r="AD166" s="23">
        <f>Master_Data[[#This Row],[Net_Sales]]-(Master_Data[[#This Row],[Qty]]*Master_Data[[#This Row],[Cost_Price]])</f>
        <v>22.899999999999977</v>
      </c>
    </row>
    <row r="167" spans="1:30" ht="15">
      <c r="A167" s="13" t="s">
        <v>329</v>
      </c>
      <c r="B167" s="28">
        <f>DATEVALUE(Master_Data[[#This Row],[Sale_Date]])</f>
        <v>46258</v>
      </c>
      <c r="C167" s="13" t="s">
        <v>71</v>
      </c>
      <c r="D167" s="13" t="s">
        <v>107</v>
      </c>
      <c r="E167" s="13" t="str">
        <f>UPPER(TRIM(Sales_Raw!$F167))</f>
        <v>P1025</v>
      </c>
      <c r="F167" s="13" t="s">
        <v>154</v>
      </c>
      <c r="G167" s="13">
        <v>1</v>
      </c>
      <c r="H167" s="14">
        <v>213.13</v>
      </c>
      <c r="I167" s="15">
        <v>0.1</v>
      </c>
      <c r="J167" s="13" t="str">
        <f>UPPER(TRIM(Sales_Raw!$K167))</f>
        <v>CASH</v>
      </c>
      <c r="K167" s="13" t="s">
        <v>14</v>
      </c>
      <c r="L167" s="13" t="str">
        <f>PROPER(TRIM(Sales_Raw!$M167))</f>
        <v>Hasthampatti</v>
      </c>
      <c r="M167" s="13" t="s">
        <v>23</v>
      </c>
      <c r="N167" s="12" t="s">
        <v>16</v>
      </c>
      <c r="O167" s="13" t="s">
        <v>80</v>
      </c>
      <c r="P167" s="16" t="str">
        <f>VLOOKUP(Sales_Raw!$E167,ProductsMasterTable[#All],2,FALSE)</f>
        <v>Handwash 250ml</v>
      </c>
      <c r="Q167" s="16" t="str">
        <f>VLOOKUP(Sales_Raw!$E167,ProductsMasterTable[#All],3,FALSE)</f>
        <v>Personal Care</v>
      </c>
      <c r="R167" s="16" t="str">
        <f>VLOOKUP(Sales_Raw!$E167,ProductsMasterTable[#All],4,FALSE)</f>
        <v>Britannia</v>
      </c>
      <c r="S167" s="16">
        <f>VLOOKUP(Sales_Raw!$E167,ProductsMasterTable[#All],5,FALSE)</f>
        <v>163.52000000000001</v>
      </c>
      <c r="T167" s="16">
        <f>VLOOKUP(Sales_Raw!$E167,ProductsMasterTable[#All],6,FALSE)</f>
        <v>220.65</v>
      </c>
      <c r="U167" s="16" t="str">
        <f>VLOOKUP(Sales_Raw!$E167,ProductsMasterTable[#All],7,FALSE)</f>
        <v>Sri Ganesh Agencies</v>
      </c>
      <c r="V167" s="16" t="str">
        <f>IFERROR(VLOOKUP(Sales_Raw!$D167,CustomersMasterTable[#All],2,FALSE),"Guest")</f>
        <v>Meena M</v>
      </c>
      <c r="W167" s="16" t="str">
        <f>IFERROR(VLOOKUP(Sales_Raw!$D167,CustomersMasterTable[#All],3,FALSE),"Guest")</f>
        <v>Female</v>
      </c>
      <c r="X167" s="16">
        <f>IFERROR(VLOOKUP(Sales_Raw!$D167,CustomersMasterTable[#All],4,FALSE),"Guest")</f>
        <v>36</v>
      </c>
      <c r="Y167" s="16" t="str">
        <f>IFERROR(VLOOKUP(Sales_Raw!$D167,CustomersMasterTable[#All],5,FALSE),"Guest")</f>
        <v>Erode</v>
      </c>
      <c r="Z167" s="16" t="str">
        <f>IFERROR(VLOOKUP(Sales_Raw!$D167,CustomersMasterTable[#All],6,FALSE),"Guest")</f>
        <v>Regular</v>
      </c>
      <c r="AA167" s="18">
        <f>IFERROR(VLOOKUP(Sales_Raw!$D167,CustomersMasterTable[#All],7,FALSE),"Guest")</f>
        <v>46214</v>
      </c>
      <c r="AB167" s="23">
        <f>Master_Data[[#This Row],[Qty]]*Master_Data[[#This Row],[Unit_Price]]</f>
        <v>213.13</v>
      </c>
      <c r="AC167" s="23">
        <f>Master_Data[[#This Row],[Gross_ Sales]]*(1-Master_Data[[#This Row],[Discount Percentage]])</f>
        <v>191.81700000000001</v>
      </c>
      <c r="AD167" s="23">
        <f>Master_Data[[#This Row],[Net_Sales]]-(Master_Data[[#This Row],[Qty]]*Master_Data[[#This Row],[Cost_Price]])</f>
        <v>28.296999999999997</v>
      </c>
    </row>
    <row r="168" spans="1:30" ht="15">
      <c r="A168" s="8" t="s">
        <v>330</v>
      </c>
      <c r="B168" s="27">
        <f>DATEVALUE(Master_Data[[#This Row],[Sale_Date]])</f>
        <v>46252</v>
      </c>
      <c r="C168" s="8" t="s">
        <v>197</v>
      </c>
      <c r="D168" s="8" t="s">
        <v>68</v>
      </c>
      <c r="E168" s="8" t="str">
        <f>UPPER(TRIM(Sales_Raw!$F168))</f>
        <v>P1004</v>
      </c>
      <c r="F168" s="8" t="s">
        <v>159</v>
      </c>
      <c r="G168" s="8">
        <v>1</v>
      </c>
      <c r="H168" s="9">
        <v>137.38999999999999</v>
      </c>
      <c r="I168" s="10">
        <v>0.1</v>
      </c>
      <c r="J168" s="8" t="str">
        <f>UPPER(TRIM(Sales_Raw!$K168))</f>
        <v>CARD</v>
      </c>
      <c r="K168" s="8" t="s">
        <v>34</v>
      </c>
      <c r="L168" s="8" t="str">
        <f>PROPER(TRIM(Sales_Raw!$M168))</f>
        <v>Hasthampatti</v>
      </c>
      <c r="M168" s="8" t="s">
        <v>23</v>
      </c>
      <c r="N168" s="7" t="s">
        <v>41</v>
      </c>
      <c r="O168" s="8" t="s">
        <v>54</v>
      </c>
      <c r="P168" s="11" t="str">
        <f>VLOOKUP(Sales_Raw!$E168,ProductsMasterTable[#All],2,FALSE)</f>
        <v>Urad Dal 1kg</v>
      </c>
      <c r="Q168" s="11" t="str">
        <f>VLOOKUP(Sales_Raw!$E168,ProductsMasterTable[#All],3,FALSE)</f>
        <v>Staples</v>
      </c>
      <c r="R168" s="11" t="str">
        <f>VLOOKUP(Sales_Raw!$E168,ProductsMasterTable[#All],4,FALSE)</f>
        <v>Cavin's</v>
      </c>
      <c r="S168" s="11">
        <f>VLOOKUP(Sales_Raw!$E168,ProductsMasterTable[#All],5,FALSE)</f>
        <v>111.53</v>
      </c>
      <c r="T168" s="11">
        <f>VLOOKUP(Sales_Raw!$E168,ProductsMasterTable[#All],6,FALSE)</f>
        <v>140.36000000000001</v>
      </c>
      <c r="U168" s="11" t="str">
        <f>VLOOKUP(Sales_Raw!$E168,ProductsMasterTable[#All],7,FALSE)</f>
        <v>Kongu Distributors</v>
      </c>
      <c r="V168" s="11" t="str">
        <f>IFERROR(VLOOKUP(Sales_Raw!$D168,CustomersMasterTable[#All],2,FALSE),"Guest")</f>
        <v>Sanjay Babu</v>
      </c>
      <c r="W168" s="11" t="str">
        <f>IFERROR(VLOOKUP(Sales_Raw!$D168,CustomersMasterTable[#All],3,FALSE),"Guest")</f>
        <v>Male</v>
      </c>
      <c r="X168" s="11">
        <f>IFERROR(VLOOKUP(Sales_Raw!$D168,CustomersMasterTable[#All],4,FALSE),"Guest")</f>
        <v>22</v>
      </c>
      <c r="Y168" s="11" t="str">
        <f>IFERROR(VLOOKUP(Sales_Raw!$D168,CustomersMasterTable[#All],5,FALSE),"Guest")</f>
        <v>Coimbatore</v>
      </c>
      <c r="Z168" s="11" t="str">
        <f>IFERROR(VLOOKUP(Sales_Raw!$D168,CustomersMasterTable[#All],6,FALSE),"Guest")</f>
        <v>Silver</v>
      </c>
      <c r="AA168" s="17">
        <f>IFERROR(VLOOKUP(Sales_Raw!$D168,CustomersMasterTable[#All],7,FALSE),"Guest")</f>
        <v>46221</v>
      </c>
      <c r="AB168" s="23">
        <f>Master_Data[[#This Row],[Qty]]*Master_Data[[#This Row],[Unit_Price]]</f>
        <v>137.38999999999999</v>
      </c>
      <c r="AC168" s="23">
        <f>Master_Data[[#This Row],[Gross_ Sales]]*(1-Master_Data[[#This Row],[Discount Percentage]])</f>
        <v>123.651</v>
      </c>
      <c r="AD168" s="23">
        <f>Master_Data[[#This Row],[Net_Sales]]-(Master_Data[[#This Row],[Qty]]*Master_Data[[#This Row],[Cost_Price]])</f>
        <v>12.120999999999995</v>
      </c>
    </row>
    <row r="169" spans="1:30" ht="15">
      <c r="A169" s="13" t="s">
        <v>331</v>
      </c>
      <c r="B169" s="28">
        <f>DATEVALUE(Master_Data[[#This Row],[Sale_Date]])</f>
        <v>46242</v>
      </c>
      <c r="C169" s="13" t="s">
        <v>82</v>
      </c>
      <c r="D169" s="13" t="s">
        <v>231</v>
      </c>
      <c r="E169" s="13" t="str">
        <f>UPPER(TRIM(Sales_Raw!$F169))</f>
        <v>P1025</v>
      </c>
      <c r="F169" s="13" t="s">
        <v>154</v>
      </c>
      <c r="G169" s="13">
        <v>3</v>
      </c>
      <c r="H169" s="14">
        <v>215.43</v>
      </c>
      <c r="I169" s="15">
        <v>0</v>
      </c>
      <c r="J169" s="13" t="str">
        <f>UPPER(TRIM(Sales_Raw!$K169))</f>
        <v>CARD</v>
      </c>
      <c r="K169" s="13" t="s">
        <v>34</v>
      </c>
      <c r="L169" s="13" t="str">
        <f>PROPER(TRIM(Sales_Raw!$M169))</f>
        <v>Hasthampatti</v>
      </c>
      <c r="M169" s="13" t="s">
        <v>23</v>
      </c>
      <c r="N169" s="12" t="s">
        <v>35</v>
      </c>
      <c r="O169" s="13" t="s">
        <v>80</v>
      </c>
      <c r="P169" s="16" t="str">
        <f>VLOOKUP(Sales_Raw!$E169,ProductsMasterTable[#All],2,FALSE)</f>
        <v>Handwash 250ml</v>
      </c>
      <c r="Q169" s="16" t="str">
        <f>VLOOKUP(Sales_Raw!$E169,ProductsMasterTable[#All],3,FALSE)</f>
        <v>Personal Care</v>
      </c>
      <c r="R169" s="16" t="str">
        <f>VLOOKUP(Sales_Raw!$E169,ProductsMasterTable[#All],4,FALSE)</f>
        <v>Britannia</v>
      </c>
      <c r="S169" s="16">
        <f>VLOOKUP(Sales_Raw!$E169,ProductsMasterTable[#All],5,FALSE)</f>
        <v>163.52000000000001</v>
      </c>
      <c r="T169" s="16">
        <f>VLOOKUP(Sales_Raw!$E169,ProductsMasterTable[#All],6,FALSE)</f>
        <v>220.65</v>
      </c>
      <c r="U169" s="16" t="str">
        <f>VLOOKUP(Sales_Raw!$E169,ProductsMasterTable[#All],7,FALSE)</f>
        <v>Sri Ganesh Agencies</v>
      </c>
      <c r="V169" s="16" t="str">
        <f>IFERROR(VLOOKUP(Sales_Raw!$D169,CustomersMasterTable[#All],2,FALSE),"Guest")</f>
        <v>Priya Kumar</v>
      </c>
      <c r="W169" s="16" t="str">
        <f>IFERROR(VLOOKUP(Sales_Raw!$D169,CustomersMasterTable[#All],3,FALSE),"Guest")</f>
        <v>Male</v>
      </c>
      <c r="X169" s="16">
        <f>IFERROR(VLOOKUP(Sales_Raw!$D169,CustomersMasterTable[#All],4,FALSE),"Guest")</f>
        <v>23</v>
      </c>
      <c r="Y169" s="16" t="str">
        <f>IFERROR(VLOOKUP(Sales_Raw!$D169,CustomersMasterTable[#All],5,FALSE),"Guest")</f>
        <v>Erode</v>
      </c>
      <c r="Z169" s="16" t="str">
        <f>IFERROR(VLOOKUP(Sales_Raw!$D169,CustomersMasterTable[#All],6,FALSE),"Guest")</f>
        <v>Regular</v>
      </c>
      <c r="AA169" s="18">
        <f>IFERROR(VLOOKUP(Sales_Raw!$D169,CustomersMasterTable[#All],7,FALSE),"Guest")</f>
        <v>46155</v>
      </c>
      <c r="AB169" s="23">
        <f>Master_Data[[#This Row],[Qty]]*Master_Data[[#This Row],[Unit_Price]]</f>
        <v>646.29</v>
      </c>
      <c r="AC169" s="23">
        <f>Master_Data[[#This Row],[Gross_ Sales]]*(1-Master_Data[[#This Row],[Discount Percentage]])</f>
        <v>646.29</v>
      </c>
      <c r="AD169" s="23">
        <f>Master_Data[[#This Row],[Net_Sales]]-(Master_Data[[#This Row],[Qty]]*Master_Data[[#This Row],[Cost_Price]])</f>
        <v>155.7299999999999</v>
      </c>
    </row>
    <row r="170" spans="1:30" ht="15">
      <c r="A170" s="8" t="s">
        <v>332</v>
      </c>
      <c r="B170" s="27">
        <f>DATEVALUE(Master_Data[[#This Row],[Sale_Date]])</f>
        <v>46247</v>
      </c>
      <c r="C170" s="8" t="s">
        <v>104</v>
      </c>
      <c r="D170" s="8" t="s">
        <v>143</v>
      </c>
      <c r="E170" s="8" t="str">
        <f>UPPER(TRIM(Sales_Raw!$F170))</f>
        <v>P1005</v>
      </c>
      <c r="F170" s="8" t="s">
        <v>69</v>
      </c>
      <c r="G170" s="8">
        <v>1</v>
      </c>
      <c r="H170" s="9">
        <v>374.69</v>
      </c>
      <c r="I170" s="10">
        <v>0.15</v>
      </c>
      <c r="J170" s="8" t="str">
        <f>UPPER(TRIM(Sales_Raw!$K170))</f>
        <v>CASH</v>
      </c>
      <c r="K170" s="8" t="s">
        <v>14</v>
      </c>
      <c r="L170" s="8" t="str">
        <f>PROPER(TRIM(Sales_Raw!$M170))</f>
        <v>Fairlands</v>
      </c>
      <c r="M170" s="8" t="s">
        <v>15</v>
      </c>
      <c r="N170" s="7" t="s">
        <v>16</v>
      </c>
      <c r="O170" s="8" t="s">
        <v>54</v>
      </c>
      <c r="P170" s="11" t="str">
        <f>VLOOKUP(Sales_Raw!$E170,ProductsMasterTable[#All],2,FALSE)</f>
        <v>Sugar 1kg</v>
      </c>
      <c r="Q170" s="11" t="str">
        <f>VLOOKUP(Sales_Raw!$E170,ProductsMasterTable[#All],3,FALSE)</f>
        <v>Staples</v>
      </c>
      <c r="R170" s="11" t="str">
        <f>VLOOKUP(Sales_Raw!$E170,ProductsMasterTable[#All],4,FALSE)</f>
        <v>ITC</v>
      </c>
      <c r="S170" s="11">
        <f>VLOOKUP(Sales_Raw!$E170,ProductsMasterTable[#All],5,FALSE)</f>
        <v>305.83999999999997</v>
      </c>
      <c r="T170" s="11">
        <f>VLOOKUP(Sales_Raw!$E170,ProductsMasterTable[#All],6,FALSE)</f>
        <v>391.87</v>
      </c>
      <c r="U170" s="11" t="str">
        <f>VLOOKUP(Sales_Raw!$E170,ProductsMasterTable[#All],7,FALSE)</f>
        <v>Kongu Distributors</v>
      </c>
      <c r="V170" s="11" t="str">
        <f>IFERROR(VLOOKUP(Sales_Raw!$D170,CustomersMasterTable[#All],2,FALSE),"Guest")</f>
        <v>Anitha Selvam</v>
      </c>
      <c r="W170" s="11" t="str">
        <f>IFERROR(VLOOKUP(Sales_Raw!$D170,CustomersMasterTable[#All],3,FALSE),"Guest")</f>
        <v>Female</v>
      </c>
      <c r="X170" s="11">
        <f>IFERROR(VLOOKUP(Sales_Raw!$D170,CustomersMasterTable[#All],4,FALSE),"Guest")</f>
        <v>46</v>
      </c>
      <c r="Y170" s="11" t="str">
        <f>IFERROR(VLOOKUP(Sales_Raw!$D170,CustomersMasterTable[#All],5,FALSE),"Guest")</f>
        <v>Dharmapuri</v>
      </c>
      <c r="Z170" s="11" t="str">
        <f>IFERROR(VLOOKUP(Sales_Raw!$D170,CustomersMasterTable[#All],6,FALSE),"Guest")</f>
        <v>Regular</v>
      </c>
      <c r="AA170" s="17">
        <f>IFERROR(VLOOKUP(Sales_Raw!$D170,CustomersMasterTable[#All],7,FALSE),"Guest")</f>
        <v>45911</v>
      </c>
      <c r="AB170" s="23">
        <f>Master_Data[[#This Row],[Qty]]*Master_Data[[#This Row],[Unit_Price]]</f>
        <v>374.69</v>
      </c>
      <c r="AC170" s="23">
        <f>Master_Data[[#This Row],[Gross_ Sales]]*(1-Master_Data[[#This Row],[Discount Percentage]])</f>
        <v>318.48649999999998</v>
      </c>
      <c r="AD170" s="23">
        <f>Master_Data[[#This Row],[Net_Sales]]-(Master_Data[[#This Row],[Qty]]*Master_Data[[#This Row],[Cost_Price]])</f>
        <v>12.646500000000003</v>
      </c>
    </row>
    <row r="171" spans="1:30" ht="29.25">
      <c r="A171" s="13" t="s">
        <v>333</v>
      </c>
      <c r="B171" s="28">
        <f>DATEVALUE(Master_Data[[#This Row],[Sale_Date]])</f>
        <v>46257</v>
      </c>
      <c r="C171" s="13" t="s">
        <v>220</v>
      </c>
      <c r="D171" s="13" t="s">
        <v>90</v>
      </c>
      <c r="E171" s="13" t="str">
        <f>UPPER(TRIM(Sales_Raw!$F171))</f>
        <v>P1003</v>
      </c>
      <c r="F171" s="13" t="s">
        <v>59</v>
      </c>
      <c r="G171" s="13">
        <v>5</v>
      </c>
      <c r="H171" s="14">
        <v>277.35000000000002</v>
      </c>
      <c r="I171" s="15">
        <v>0</v>
      </c>
      <c r="J171" s="13" t="str">
        <f>UPPER(TRIM(Sales_Raw!$K171))</f>
        <v>UPI</v>
      </c>
      <c r="K171" s="13" t="s">
        <v>22</v>
      </c>
      <c r="L171" s="13" t="str">
        <f>PROPER(TRIM(Sales_Raw!$M171))</f>
        <v>Suramangalam</v>
      </c>
      <c r="M171" s="13" t="s">
        <v>40</v>
      </c>
      <c r="N171" s="12" t="s">
        <v>24</v>
      </c>
      <c r="O171" s="13" t="s">
        <v>54</v>
      </c>
      <c r="P171" s="16" t="str">
        <f>VLOOKUP(Sales_Raw!$E171,ProductsMasterTable[#All],2,FALSE)</f>
        <v>Toor Dal 1kg</v>
      </c>
      <c r="Q171" s="16" t="str">
        <f>VLOOKUP(Sales_Raw!$E171,ProductsMasterTable[#All],3,FALSE)</f>
        <v>Staples</v>
      </c>
      <c r="R171" s="16" t="str">
        <f>VLOOKUP(Sales_Raw!$E171,ProductsMasterTable[#All],4,FALSE)</f>
        <v>Aavin</v>
      </c>
      <c r="S171" s="16">
        <f>VLOOKUP(Sales_Raw!$E171,ProductsMasterTable[#All],5,FALSE)</f>
        <v>255.38</v>
      </c>
      <c r="T171" s="16">
        <f>VLOOKUP(Sales_Raw!$E171,ProductsMasterTable[#All],6,FALSE)</f>
        <v>287.89</v>
      </c>
      <c r="U171" s="16" t="str">
        <f>VLOOKUP(Sales_Raw!$E171,ProductsMasterTable[#All],7,FALSE)</f>
        <v>Kongu Distributors</v>
      </c>
      <c r="V171" s="16" t="str">
        <f>IFERROR(VLOOKUP(Sales_Raw!$D171,CustomersMasterTable[#All],2,FALSE),"Guest")</f>
        <v>Harish Selvam</v>
      </c>
      <c r="W171" s="16" t="str">
        <f>IFERROR(VLOOKUP(Sales_Raw!$D171,CustomersMasterTable[#All],3,FALSE),"Guest")</f>
        <v>Male</v>
      </c>
      <c r="X171" s="16">
        <f>IFERROR(VLOOKUP(Sales_Raw!$D171,CustomersMasterTable[#All],4,FALSE),"Guest")</f>
        <v>42</v>
      </c>
      <c r="Y171" s="16" t="str">
        <f>IFERROR(VLOOKUP(Sales_Raw!$D171,CustomersMasterTable[#All],5,FALSE),"Guest")</f>
        <v>Dharmapuri</v>
      </c>
      <c r="Z171" s="16" t="str">
        <f>IFERROR(VLOOKUP(Sales_Raw!$D171,CustomersMasterTable[#All],6,FALSE),"Guest")</f>
        <v>Regular</v>
      </c>
      <c r="AA171" s="18">
        <f>IFERROR(VLOOKUP(Sales_Raw!$D171,CustomersMasterTable[#All],7,FALSE),"Guest")</f>
        <v>45703</v>
      </c>
      <c r="AB171" s="23">
        <f>Master_Data[[#This Row],[Qty]]*Master_Data[[#This Row],[Unit_Price]]</f>
        <v>1386.75</v>
      </c>
      <c r="AC171" s="23">
        <f>Master_Data[[#This Row],[Gross_ Sales]]*(1-Master_Data[[#This Row],[Discount Percentage]])</f>
        <v>1386.75</v>
      </c>
      <c r="AD171" s="23">
        <f>Master_Data[[#This Row],[Net_Sales]]-(Master_Data[[#This Row],[Qty]]*Master_Data[[#This Row],[Cost_Price]])</f>
        <v>109.84999999999991</v>
      </c>
    </row>
    <row r="172" spans="1:30" ht="15">
      <c r="A172" s="8" t="s">
        <v>334</v>
      </c>
      <c r="B172" s="27">
        <f>DATEVALUE(Master_Data[[#This Row],[Sale_Date]])</f>
        <v>46258</v>
      </c>
      <c r="C172" s="8" t="s">
        <v>71</v>
      </c>
      <c r="D172" s="8" t="s">
        <v>282</v>
      </c>
      <c r="E172" s="8" t="str">
        <f>UPPER(TRIM(Sales_Raw!$F172))</f>
        <v>P1008</v>
      </c>
      <c r="F172" s="8" t="s">
        <v>13</v>
      </c>
      <c r="G172" s="8">
        <v>1</v>
      </c>
      <c r="H172" s="9">
        <v>481.75</v>
      </c>
      <c r="I172" s="10">
        <v>0</v>
      </c>
      <c r="J172" s="8" t="str">
        <f>UPPER(TRIM(Sales_Raw!$K172))</f>
        <v>UPI</v>
      </c>
      <c r="K172" s="8" t="s">
        <v>22</v>
      </c>
      <c r="L172" s="8" t="str">
        <f>PROPER(TRIM(Sales_Raw!$M172))</f>
        <v>Hasthampatti</v>
      </c>
      <c r="M172" s="8" t="s">
        <v>23</v>
      </c>
      <c r="N172" s="7" t="s">
        <v>53</v>
      </c>
      <c r="O172" s="8" t="s">
        <v>17</v>
      </c>
      <c r="P172" s="11" t="str">
        <f>VLOOKUP(Sales_Raw!$E172,ProductsMasterTable[#All],2,FALSE)</f>
        <v>Curd 500g</v>
      </c>
      <c r="Q172" s="11" t="str">
        <f>VLOOKUP(Sales_Raw!$E172,ProductsMasterTable[#All],3,FALSE)</f>
        <v>Dairy</v>
      </c>
      <c r="R172" s="11" t="str">
        <f>VLOOKUP(Sales_Raw!$E172,ProductsMasterTable[#All],4,FALSE)</f>
        <v>Aavin</v>
      </c>
      <c r="S172" s="11">
        <f>VLOOKUP(Sales_Raw!$E172,ProductsMasterTable[#All],5,FALSE)</f>
        <v>402.8</v>
      </c>
      <c r="T172" s="11">
        <f>VLOOKUP(Sales_Raw!$E172,ProductsMasterTable[#All],6,FALSE)</f>
        <v>482.32</v>
      </c>
      <c r="U172" s="11" t="str">
        <f>VLOOKUP(Sales_Raw!$E172,ProductsMasterTable[#All],7,FALSE)</f>
        <v>FreshLine Traders</v>
      </c>
      <c r="V172" s="11" t="str">
        <f>IFERROR(VLOOKUP(Sales_Raw!$D172,CustomersMasterTable[#All],2,FALSE),"Guest")</f>
        <v>Praveen Babu</v>
      </c>
      <c r="W172" s="11" t="str">
        <f>IFERROR(VLOOKUP(Sales_Raw!$D172,CustomersMasterTable[#All],3,FALSE),"Guest")</f>
        <v>Female</v>
      </c>
      <c r="X172" s="11">
        <f>IFERROR(VLOOKUP(Sales_Raw!$D172,CustomersMasterTable[#All],4,FALSE),"Guest")</f>
        <v>21</v>
      </c>
      <c r="Y172" s="11" t="str">
        <f>IFERROR(VLOOKUP(Sales_Raw!$D172,CustomersMasterTable[#All],5,FALSE),"Guest")</f>
        <v>Salem</v>
      </c>
      <c r="Z172" s="11" t="str">
        <f>IFERROR(VLOOKUP(Sales_Raw!$D172,CustomersMasterTable[#All],6,FALSE),"Guest")</f>
        <v>Silver</v>
      </c>
      <c r="AA172" s="17">
        <f>IFERROR(VLOOKUP(Sales_Raw!$D172,CustomersMasterTable[#All],7,FALSE),"Guest")</f>
        <v>45941</v>
      </c>
      <c r="AB172" s="23">
        <f>Master_Data[[#This Row],[Qty]]*Master_Data[[#This Row],[Unit_Price]]</f>
        <v>481.75</v>
      </c>
      <c r="AC172" s="23">
        <f>Master_Data[[#This Row],[Gross_ Sales]]*(1-Master_Data[[#This Row],[Discount Percentage]])</f>
        <v>481.75</v>
      </c>
      <c r="AD172" s="23">
        <f>Master_Data[[#This Row],[Net_Sales]]-(Master_Data[[#This Row],[Qty]]*Master_Data[[#This Row],[Cost_Price]])</f>
        <v>78.949999999999989</v>
      </c>
    </row>
    <row r="173" spans="1:30" ht="29.25">
      <c r="A173" s="13" t="s">
        <v>335</v>
      </c>
      <c r="B173" s="28">
        <f>DATEVALUE(Master_Data[[#This Row],[Sale_Date]])</f>
        <v>46258</v>
      </c>
      <c r="C173" s="13" t="s">
        <v>71</v>
      </c>
      <c r="D173" s="13" t="s">
        <v>336</v>
      </c>
      <c r="E173" s="13" t="str">
        <f>UPPER(TRIM(Sales_Raw!$F173))</f>
        <v>P1019</v>
      </c>
      <c r="F173" s="13" t="s">
        <v>84</v>
      </c>
      <c r="G173" s="13">
        <v>3</v>
      </c>
      <c r="H173" s="14">
        <v>368.83</v>
      </c>
      <c r="I173" s="15">
        <v>0.1</v>
      </c>
      <c r="J173" s="13" t="str">
        <f>UPPER(TRIM(Sales_Raw!$K173))</f>
        <v>UPI</v>
      </c>
      <c r="K173" s="13" t="s">
        <v>22</v>
      </c>
      <c r="L173" s="13" t="str">
        <f>PROPER(TRIM(Sales_Raw!$M173))</f>
        <v>Suramangalam</v>
      </c>
      <c r="M173" s="13" t="s">
        <v>40</v>
      </c>
      <c r="N173" s="12" t="s">
        <v>53</v>
      </c>
      <c r="O173" s="13" t="s">
        <v>65</v>
      </c>
      <c r="P173" s="16" t="str">
        <f>VLOOKUP(Sales_Raw!$E173,ProductsMasterTable[#All],2,FALSE)</f>
        <v>Cola 750ml</v>
      </c>
      <c r="Q173" s="16" t="str">
        <f>VLOOKUP(Sales_Raw!$E173,ProductsMasterTable[#All],3,FALSE)</f>
        <v>Beverages</v>
      </c>
      <c r="R173" s="16" t="str">
        <f>VLOOKUP(Sales_Raw!$E173,ProductsMasterTable[#All],4,FALSE)</f>
        <v>Aachi</v>
      </c>
      <c r="S173" s="16">
        <f>VLOOKUP(Sales_Raw!$E173,ProductsMasterTable[#All],5,FALSE)</f>
        <v>293.20999999999998</v>
      </c>
      <c r="T173" s="16">
        <f>VLOOKUP(Sales_Raw!$E173,ProductsMasterTable[#All],6,FALSE)</f>
        <v>385.24</v>
      </c>
      <c r="U173" s="16" t="str">
        <f>VLOOKUP(Sales_Raw!$E173,ProductsMasterTable[#All],7,FALSE)</f>
        <v>Kongu Distributors</v>
      </c>
      <c r="V173" s="16" t="str">
        <f>IFERROR(VLOOKUP(Sales_Raw!$D173,CustomersMasterTable[#All],2,FALSE),"Guest")</f>
        <v>Gayathri Kumar</v>
      </c>
      <c r="W173" s="16" t="str">
        <f>IFERROR(VLOOKUP(Sales_Raw!$D173,CustomersMasterTable[#All],3,FALSE),"Guest")</f>
        <v>Female</v>
      </c>
      <c r="X173" s="16">
        <f>IFERROR(VLOOKUP(Sales_Raw!$D173,CustomersMasterTable[#All],4,FALSE),"Guest")</f>
        <v>55</v>
      </c>
      <c r="Y173" s="16" t="str">
        <f>IFERROR(VLOOKUP(Sales_Raw!$D173,CustomersMasterTable[#All],5,FALSE),"Guest")</f>
        <v>Dharmapuri</v>
      </c>
      <c r="Z173" s="16" t="str">
        <f>IFERROR(VLOOKUP(Sales_Raw!$D173,CustomersMasterTable[#All],6,FALSE),"Guest")</f>
        <v>Regular</v>
      </c>
      <c r="AA173" s="18">
        <f>IFERROR(VLOOKUP(Sales_Raw!$D173,CustomersMasterTable[#All],7,FALSE),"Guest")</f>
        <v>45788</v>
      </c>
      <c r="AB173" s="23">
        <f>Master_Data[[#This Row],[Qty]]*Master_Data[[#This Row],[Unit_Price]]</f>
        <v>1106.49</v>
      </c>
      <c r="AC173" s="23">
        <f>Master_Data[[#This Row],[Gross_ Sales]]*(1-Master_Data[[#This Row],[Discount Percentage]])</f>
        <v>995.84100000000001</v>
      </c>
      <c r="AD173" s="23">
        <f>Master_Data[[#This Row],[Net_Sales]]-(Master_Data[[#This Row],[Qty]]*Master_Data[[#This Row],[Cost_Price]])</f>
        <v>116.21100000000013</v>
      </c>
    </row>
    <row r="174" spans="1:30" ht="15">
      <c r="A174" s="8" t="s">
        <v>337</v>
      </c>
      <c r="B174" s="27">
        <f>DATEVALUE(Master_Data[[#This Row],[Sale_Date]])</f>
        <v>46239</v>
      </c>
      <c r="C174" s="8" t="s">
        <v>61</v>
      </c>
      <c r="D174" s="8" t="s">
        <v>205</v>
      </c>
      <c r="E174" s="8" t="str">
        <f>UPPER(TRIM(Sales_Raw!$F174))</f>
        <v>P1013</v>
      </c>
      <c r="F174" s="8" t="s">
        <v>176</v>
      </c>
      <c r="G174" s="8">
        <v>6</v>
      </c>
      <c r="H174" s="9">
        <v>105.83</v>
      </c>
      <c r="I174" s="10">
        <v>0.1</v>
      </c>
      <c r="J174" s="8" t="str">
        <f>UPPER(TRIM(Sales_Raw!$K174))</f>
        <v>CASH</v>
      </c>
      <c r="K174" s="8" t="s">
        <v>14</v>
      </c>
      <c r="L174" s="8" t="str">
        <f>PROPER(TRIM(Sales_Raw!$M174))</f>
        <v>Hasthampatti</v>
      </c>
      <c r="M174" s="8" t="s">
        <v>23</v>
      </c>
      <c r="N174" s="7" t="s">
        <v>41</v>
      </c>
      <c r="O174" s="8" t="s">
        <v>30</v>
      </c>
      <c r="P174" s="11" t="str">
        <f>VLOOKUP(Sales_Raw!$E174,ProductsMasterTable[#All],2,FALSE)</f>
        <v>Banana Chips</v>
      </c>
      <c r="Q174" s="11" t="str">
        <f>VLOOKUP(Sales_Raw!$E174,ProductsMasterTable[#All],3,FALSE)</f>
        <v>Snacks</v>
      </c>
      <c r="R174" s="11" t="str">
        <f>VLOOKUP(Sales_Raw!$E174,ProductsMasterTable[#All],4,FALSE)</f>
        <v>Tata</v>
      </c>
      <c r="S174" s="11">
        <f>VLOOKUP(Sales_Raw!$E174,ProductsMasterTable[#All],5,FALSE)</f>
        <v>95.3</v>
      </c>
      <c r="T174" s="11">
        <f>VLOOKUP(Sales_Raw!$E174,ProductsMasterTable[#All],6,FALSE)</f>
        <v>108.26</v>
      </c>
      <c r="U174" s="11" t="str">
        <f>VLOOKUP(Sales_Raw!$E174,ProductsMasterTable[#All],7,FALSE)</f>
        <v>Metro Supply Co</v>
      </c>
      <c r="V174" s="11" t="str">
        <f>IFERROR(VLOOKUP(Sales_Raw!$D174,CustomersMasterTable[#All],2,FALSE),"Guest")</f>
        <v>Nithya S</v>
      </c>
      <c r="W174" s="11" t="str">
        <f>IFERROR(VLOOKUP(Sales_Raw!$D174,CustomersMasterTable[#All],3,FALSE),"Guest")</f>
        <v>Male</v>
      </c>
      <c r="X174" s="11">
        <f>IFERROR(VLOOKUP(Sales_Raw!$D174,CustomersMasterTable[#All],4,FALSE),"Guest")</f>
        <v>36</v>
      </c>
      <c r="Y174" s="11" t="str">
        <f>IFERROR(VLOOKUP(Sales_Raw!$D174,CustomersMasterTable[#All],5,FALSE),"Guest")</f>
        <v>Erode</v>
      </c>
      <c r="Z174" s="11" t="str">
        <f>IFERROR(VLOOKUP(Sales_Raw!$D174,CustomersMasterTable[#All],6,FALSE),"Guest")</f>
        <v>Gold</v>
      </c>
      <c r="AA174" s="17">
        <f>IFERROR(VLOOKUP(Sales_Raw!$D174,CustomersMasterTable[#All],7,FALSE),"Guest")</f>
        <v>46251</v>
      </c>
      <c r="AB174" s="23">
        <f>Master_Data[[#This Row],[Qty]]*Master_Data[[#This Row],[Unit_Price]]</f>
        <v>634.98</v>
      </c>
      <c r="AC174" s="23">
        <f>Master_Data[[#This Row],[Gross_ Sales]]*(1-Master_Data[[#This Row],[Discount Percentage]])</f>
        <v>571.48200000000008</v>
      </c>
      <c r="AD174" s="23">
        <f>Master_Data[[#This Row],[Net_Sales]]-(Master_Data[[#This Row],[Qty]]*Master_Data[[#This Row],[Cost_Price]])</f>
        <v>-0.31799999999986994</v>
      </c>
    </row>
    <row r="175" spans="1:30" ht="29.25">
      <c r="A175" s="13" t="s">
        <v>338</v>
      </c>
      <c r="B175" s="28">
        <f>DATEVALUE(Master_Data[[#This Row],[Sale_Date]])</f>
        <v>46239</v>
      </c>
      <c r="C175" s="13" t="s">
        <v>61</v>
      </c>
      <c r="D175" s="13" t="s">
        <v>227</v>
      </c>
      <c r="E175" s="13" t="str">
        <f>UPPER(TRIM(Sales_Raw!$F175))</f>
        <v>P1011</v>
      </c>
      <c r="F175" s="13" t="s">
        <v>57</v>
      </c>
      <c r="G175" s="13">
        <v>6</v>
      </c>
      <c r="H175" s="14">
        <v>457.34</v>
      </c>
      <c r="I175" s="15">
        <v>0.05</v>
      </c>
      <c r="J175" s="13" t="str">
        <f>UPPER(TRIM(Sales_Raw!$K175))</f>
        <v>CARD</v>
      </c>
      <c r="K175" s="13" t="s">
        <v>34</v>
      </c>
      <c r="L175" s="13" t="str">
        <f>PROPER(TRIM(Sales_Raw!$M175))</f>
        <v>Suramangalam</v>
      </c>
      <c r="M175" s="13" t="s">
        <v>40</v>
      </c>
      <c r="N175" s="12" t="s">
        <v>16</v>
      </c>
      <c r="O175" s="13" t="s">
        <v>17</v>
      </c>
      <c r="P175" s="16" t="str">
        <f>VLOOKUP(Sales_Raw!$E175,ProductsMasterTable[#All],2,FALSE)</f>
        <v>Cheese Slices</v>
      </c>
      <c r="Q175" s="16" t="str">
        <f>VLOOKUP(Sales_Raw!$E175,ProductsMasterTable[#All],3,FALSE)</f>
        <v>Dairy</v>
      </c>
      <c r="R175" s="16" t="str">
        <f>VLOOKUP(Sales_Raw!$E175,ProductsMasterTable[#All],4,FALSE)</f>
        <v>Cavin's</v>
      </c>
      <c r="S175" s="16">
        <f>VLOOKUP(Sales_Raw!$E175,ProductsMasterTable[#All],5,FALSE)</f>
        <v>409.19</v>
      </c>
      <c r="T175" s="16">
        <f>VLOOKUP(Sales_Raw!$E175,ProductsMasterTable[#All],6,FALSE)</f>
        <v>493.92</v>
      </c>
      <c r="U175" s="16" t="str">
        <f>VLOOKUP(Sales_Raw!$E175,ProductsMasterTable[#All],7,FALSE)</f>
        <v>Metro Supply Co</v>
      </c>
      <c r="V175" s="16" t="str">
        <f>IFERROR(VLOOKUP(Sales_Raw!$D175,CustomersMasterTable[#All],2,FALSE),"Guest")</f>
        <v>Keerthi R</v>
      </c>
      <c r="W175" s="16" t="str">
        <f>IFERROR(VLOOKUP(Sales_Raw!$D175,CustomersMasterTable[#All],3,FALSE),"Guest")</f>
        <v>Female</v>
      </c>
      <c r="X175" s="16">
        <f>IFERROR(VLOOKUP(Sales_Raw!$D175,CustomersMasterTable[#All],4,FALSE),"Guest")</f>
        <v>19</v>
      </c>
      <c r="Y175" s="16" t="str">
        <f>IFERROR(VLOOKUP(Sales_Raw!$D175,CustomersMasterTable[#All],5,FALSE),"Guest")</f>
        <v>Dharmapuri</v>
      </c>
      <c r="Z175" s="16" t="str">
        <f>IFERROR(VLOOKUP(Sales_Raw!$D175,CustomersMasterTable[#All],6,FALSE),"Guest")</f>
        <v>Silver</v>
      </c>
      <c r="AA175" s="18">
        <f>IFERROR(VLOOKUP(Sales_Raw!$D175,CustomersMasterTable[#All],7,FALSE),"Guest")</f>
        <v>45883</v>
      </c>
      <c r="AB175" s="23">
        <f>Master_Data[[#This Row],[Qty]]*Master_Data[[#This Row],[Unit_Price]]</f>
        <v>2744.04</v>
      </c>
      <c r="AC175" s="23">
        <f>Master_Data[[#This Row],[Gross_ Sales]]*(1-Master_Data[[#This Row],[Discount Percentage]])</f>
        <v>2606.8379999999997</v>
      </c>
      <c r="AD175" s="23">
        <f>Master_Data[[#This Row],[Net_Sales]]-(Master_Data[[#This Row],[Qty]]*Master_Data[[#This Row],[Cost_Price]])</f>
        <v>151.69799999999987</v>
      </c>
    </row>
    <row r="176" spans="1:30" ht="15">
      <c r="A176" s="8" t="s">
        <v>339</v>
      </c>
      <c r="B176" s="27">
        <f>DATEVALUE(Master_Data[[#This Row],[Sale_Date]])</f>
        <v>46243</v>
      </c>
      <c r="C176" s="8" t="s">
        <v>123</v>
      </c>
      <c r="D176" s="8" t="s">
        <v>257</v>
      </c>
      <c r="E176" s="8" t="str">
        <f>UPPER(TRIM(Sales_Raw!$F176))</f>
        <v>P1027</v>
      </c>
      <c r="F176" s="8" t="s">
        <v>156</v>
      </c>
      <c r="G176" s="8">
        <v>5</v>
      </c>
      <c r="H176" s="9">
        <v>341.75</v>
      </c>
      <c r="I176" s="10">
        <v>0</v>
      </c>
      <c r="J176" s="8" t="str">
        <f>UPPER(TRIM(Sales_Raw!$K176))</f>
        <v>UPI</v>
      </c>
      <c r="K176" s="8" t="s">
        <v>22</v>
      </c>
      <c r="L176" s="8" t="str">
        <f>PROPER(TRIM(Sales_Raw!$M176))</f>
        <v>Hasthampatti</v>
      </c>
      <c r="M176" s="8" t="s">
        <v>23</v>
      </c>
      <c r="N176" s="7" t="s">
        <v>41</v>
      </c>
      <c r="O176" s="8" t="s">
        <v>25</v>
      </c>
      <c r="P176" s="11" t="str">
        <f>VLOOKUP(Sales_Raw!$E176,ProductsMasterTable[#All],2,FALSE)</f>
        <v>Detergent 1kg</v>
      </c>
      <c r="Q176" s="11" t="str">
        <f>VLOOKUP(Sales_Raw!$E176,ProductsMasterTable[#All],3,FALSE)</f>
        <v>Household</v>
      </c>
      <c r="R176" s="11" t="str">
        <f>VLOOKUP(Sales_Raw!$E176,ProductsMasterTable[#All],4,FALSE)</f>
        <v>ITC</v>
      </c>
      <c r="S176" s="11">
        <f>VLOOKUP(Sales_Raw!$E176,ProductsMasterTable[#All],5,FALSE)</f>
        <v>270.23</v>
      </c>
      <c r="T176" s="11">
        <f>VLOOKUP(Sales_Raw!$E176,ProductsMasterTable[#All],6,FALSE)</f>
        <v>351.89</v>
      </c>
      <c r="U176" s="11" t="str">
        <f>VLOOKUP(Sales_Raw!$E176,ProductsMasterTable[#All],7,FALSE)</f>
        <v>Sri Ganesh Agencies</v>
      </c>
      <c r="V176" s="11" t="str">
        <f>IFERROR(VLOOKUP(Sales_Raw!$D176,CustomersMasterTable[#All],2,FALSE),"Guest")</f>
        <v>Divya Priyan</v>
      </c>
      <c r="W176" s="11" t="str">
        <f>IFERROR(VLOOKUP(Sales_Raw!$D176,CustomersMasterTable[#All],3,FALSE),"Guest")</f>
        <v>Female</v>
      </c>
      <c r="X176" s="11">
        <f>IFERROR(VLOOKUP(Sales_Raw!$D176,CustomersMasterTable[#All],4,FALSE),"Guest")</f>
        <v>21</v>
      </c>
      <c r="Y176" s="11" t="str">
        <f>IFERROR(VLOOKUP(Sales_Raw!$D176,CustomersMasterTable[#All],5,FALSE),"Guest")</f>
        <v>Dharmapuri</v>
      </c>
      <c r="Z176" s="11" t="str">
        <f>IFERROR(VLOOKUP(Sales_Raw!$D176,CustomersMasterTable[#All],6,FALSE),"Guest")</f>
        <v>Regular</v>
      </c>
      <c r="AA176" s="17">
        <f>IFERROR(VLOOKUP(Sales_Raw!$D176,CustomersMasterTable[#All],7,FALSE),"Guest")</f>
        <v>45782</v>
      </c>
      <c r="AB176" s="23">
        <f>Master_Data[[#This Row],[Qty]]*Master_Data[[#This Row],[Unit_Price]]</f>
        <v>1708.75</v>
      </c>
      <c r="AC176" s="23">
        <f>Master_Data[[#This Row],[Gross_ Sales]]*(1-Master_Data[[#This Row],[Discount Percentage]])</f>
        <v>1708.75</v>
      </c>
      <c r="AD176" s="23">
        <f>Master_Data[[#This Row],[Net_Sales]]-(Master_Data[[#This Row],[Qty]]*Master_Data[[#This Row],[Cost_Price]])</f>
        <v>357.59999999999991</v>
      </c>
    </row>
    <row r="177" spans="1:30" ht="15">
      <c r="A177" s="13" t="s">
        <v>340</v>
      </c>
      <c r="B177" s="28">
        <f>DATEVALUE(Master_Data[[#This Row],[Sale_Date]])</f>
        <v>46238</v>
      </c>
      <c r="C177" s="13" t="s">
        <v>278</v>
      </c>
      <c r="D177" s="13" t="s">
        <v>47</v>
      </c>
      <c r="E177" s="13" t="str">
        <f>UPPER(TRIM(Sales_Raw!$F177))</f>
        <v>P1004</v>
      </c>
      <c r="F177" s="13" t="s">
        <v>159</v>
      </c>
      <c r="G177" s="13">
        <v>5</v>
      </c>
      <c r="H177" s="14">
        <v>130.85</v>
      </c>
      <c r="I177" s="15">
        <v>0</v>
      </c>
      <c r="J177" s="13" t="str">
        <f>UPPER(TRIM(Sales_Raw!$K177))</f>
        <v>UPI</v>
      </c>
      <c r="K177" s="13" t="s">
        <v>22</v>
      </c>
      <c r="L177" s="13" t="str">
        <f>PROPER(TRIM(Sales_Raw!$M177))</f>
        <v>Hasthampatti</v>
      </c>
      <c r="M177" s="13" t="s">
        <v>23</v>
      </c>
      <c r="N177" s="12" t="s">
        <v>24</v>
      </c>
      <c r="O177" s="13" t="s">
        <v>54</v>
      </c>
      <c r="P177" s="16" t="str">
        <f>VLOOKUP(Sales_Raw!$E177,ProductsMasterTable[#All],2,FALSE)</f>
        <v>Urad Dal 1kg</v>
      </c>
      <c r="Q177" s="16" t="str">
        <f>VLOOKUP(Sales_Raw!$E177,ProductsMasterTable[#All],3,FALSE)</f>
        <v>Staples</v>
      </c>
      <c r="R177" s="16" t="str">
        <f>VLOOKUP(Sales_Raw!$E177,ProductsMasterTable[#All],4,FALSE)</f>
        <v>Cavin's</v>
      </c>
      <c r="S177" s="16">
        <f>VLOOKUP(Sales_Raw!$E177,ProductsMasterTable[#All],5,FALSE)</f>
        <v>111.53</v>
      </c>
      <c r="T177" s="16">
        <f>VLOOKUP(Sales_Raw!$E177,ProductsMasterTable[#All],6,FALSE)</f>
        <v>140.36000000000001</v>
      </c>
      <c r="U177" s="16" t="str">
        <f>VLOOKUP(Sales_Raw!$E177,ProductsMasterTable[#All],7,FALSE)</f>
        <v>Kongu Distributors</v>
      </c>
      <c r="V177" s="16" t="str">
        <f>IFERROR(VLOOKUP(Sales_Raw!$D177,CustomersMasterTable[#All],2,FALSE),"Guest")</f>
        <v>Naveen S</v>
      </c>
      <c r="W177" s="16" t="str">
        <f>IFERROR(VLOOKUP(Sales_Raw!$D177,CustomersMasterTable[#All],3,FALSE),"Guest")</f>
        <v>Male</v>
      </c>
      <c r="X177" s="16">
        <f>IFERROR(VLOOKUP(Sales_Raw!$D177,CustomersMasterTable[#All],4,FALSE),"Guest")</f>
        <v>20</v>
      </c>
      <c r="Y177" s="16" t="str">
        <f>IFERROR(VLOOKUP(Sales_Raw!$D177,CustomersMasterTable[#All],5,FALSE),"Guest")</f>
        <v>Erode</v>
      </c>
      <c r="Z177" s="16" t="str">
        <f>IFERROR(VLOOKUP(Sales_Raw!$D177,CustomersMasterTable[#All],6,FALSE),"Guest")</f>
        <v>Gold</v>
      </c>
      <c r="AA177" s="18">
        <f>IFERROR(VLOOKUP(Sales_Raw!$D177,CustomersMasterTable[#All],7,FALSE),"Guest")</f>
        <v>45732</v>
      </c>
      <c r="AB177" s="23">
        <f>Master_Data[[#This Row],[Qty]]*Master_Data[[#This Row],[Unit_Price]]</f>
        <v>654.25</v>
      </c>
      <c r="AC177" s="23">
        <f>Master_Data[[#This Row],[Gross_ Sales]]*(1-Master_Data[[#This Row],[Discount Percentage]])</f>
        <v>654.25</v>
      </c>
      <c r="AD177" s="23">
        <f>Master_Data[[#This Row],[Net_Sales]]-(Master_Data[[#This Row],[Qty]]*Master_Data[[#This Row],[Cost_Price]])</f>
        <v>96.600000000000023</v>
      </c>
    </row>
    <row r="178" spans="1:30" ht="29.25">
      <c r="A178" s="8" t="s">
        <v>341</v>
      </c>
      <c r="B178" s="27">
        <f>DATEVALUE(Master_Data[[#This Row],[Sale_Date]])</f>
        <v>46257</v>
      </c>
      <c r="C178" s="8" t="s">
        <v>220</v>
      </c>
      <c r="D178" s="8" t="s">
        <v>272</v>
      </c>
      <c r="E178" s="8" t="str">
        <f>UPPER(TRIM(Sales_Raw!$F178))</f>
        <v>P1029</v>
      </c>
      <c r="F178" s="8" t="s">
        <v>21</v>
      </c>
      <c r="G178" s="8">
        <v>3</v>
      </c>
      <c r="H178" s="9">
        <v>146.68</v>
      </c>
      <c r="I178" s="10">
        <v>0</v>
      </c>
      <c r="J178" s="8" t="str">
        <f>UPPER(TRIM(Sales_Raw!$K178))</f>
        <v>UPI</v>
      </c>
      <c r="K178" s="8" t="s">
        <v>64</v>
      </c>
      <c r="L178" s="8" t="str">
        <f>PROPER(TRIM(Sales_Raw!$M178))</f>
        <v>Suramangalam</v>
      </c>
      <c r="M178" s="8" t="s">
        <v>40</v>
      </c>
      <c r="N178" s="7" t="s">
        <v>41</v>
      </c>
      <c r="O178" s="8" t="s">
        <v>25</v>
      </c>
      <c r="P178" s="11" t="str">
        <f>VLOOKUP(Sales_Raw!$E178,ProductsMasterTable[#All],2,FALSE)</f>
        <v>Tissue Roll</v>
      </c>
      <c r="Q178" s="11" t="str">
        <f>VLOOKUP(Sales_Raw!$E178,ProductsMasterTable[#All],3,FALSE)</f>
        <v>Household</v>
      </c>
      <c r="R178" s="11" t="str">
        <f>VLOOKUP(Sales_Raw!$E178,ProductsMasterTable[#All],4,FALSE)</f>
        <v>Aachi</v>
      </c>
      <c r="S178" s="11">
        <f>VLOOKUP(Sales_Raw!$E178,ProductsMasterTable[#All],5,FALSE)</f>
        <v>119.07</v>
      </c>
      <c r="T178" s="11">
        <f>VLOOKUP(Sales_Raw!$E178,ProductsMasterTable[#All],6,FALSE)</f>
        <v>148.51</v>
      </c>
      <c r="U178" s="11" t="str">
        <f>VLOOKUP(Sales_Raw!$E178,ProductsMasterTable[#All],7,FALSE)</f>
        <v>Salem Wholesale Mart</v>
      </c>
      <c r="V178" s="11" t="str">
        <f>IFERROR(VLOOKUP(Sales_Raw!$D178,CustomersMasterTable[#All],2,FALSE),"Guest")</f>
        <v>Kavin Kumar</v>
      </c>
      <c r="W178" s="11" t="str">
        <f>IFERROR(VLOOKUP(Sales_Raw!$D178,CustomersMasterTable[#All],3,FALSE),"Guest")</f>
        <v>Female</v>
      </c>
      <c r="X178" s="11">
        <f>IFERROR(VLOOKUP(Sales_Raw!$D178,CustomersMasterTable[#All],4,FALSE),"Guest")</f>
        <v>67</v>
      </c>
      <c r="Y178" s="11" t="str">
        <f>IFERROR(VLOOKUP(Sales_Raw!$D178,CustomersMasterTable[#All],5,FALSE),"Guest")</f>
        <v>Erode</v>
      </c>
      <c r="Z178" s="11" t="str">
        <f>IFERROR(VLOOKUP(Sales_Raw!$D178,CustomersMasterTable[#All],6,FALSE),"Guest")</f>
        <v>Silver</v>
      </c>
      <c r="AA178" s="17">
        <f>IFERROR(VLOOKUP(Sales_Raw!$D178,CustomersMasterTable[#All],7,FALSE),"Guest")</f>
        <v>45926</v>
      </c>
      <c r="AB178" s="23">
        <f>Master_Data[[#This Row],[Qty]]*Master_Data[[#This Row],[Unit_Price]]</f>
        <v>440.04</v>
      </c>
      <c r="AC178" s="23">
        <f>Master_Data[[#This Row],[Gross_ Sales]]*(1-Master_Data[[#This Row],[Discount Percentage]])</f>
        <v>440.04</v>
      </c>
      <c r="AD178" s="23">
        <f>Master_Data[[#This Row],[Net_Sales]]-(Master_Data[[#This Row],[Qty]]*Master_Data[[#This Row],[Cost_Price]])</f>
        <v>82.830000000000041</v>
      </c>
    </row>
    <row r="179" spans="1:30" ht="29.25">
      <c r="A179" s="13" t="s">
        <v>342</v>
      </c>
      <c r="B179" s="28">
        <f>DATEVALUE(Master_Data[[#This Row],[Sale_Date]])</f>
        <v>46252</v>
      </c>
      <c r="C179" s="13" t="s">
        <v>197</v>
      </c>
      <c r="D179" s="13" t="s">
        <v>227</v>
      </c>
      <c r="E179" s="13" t="str">
        <f>UPPER(TRIM(Sales_Raw!$F179))</f>
        <v>P1021</v>
      </c>
      <c r="F179" s="13" t="s">
        <v>63</v>
      </c>
      <c r="G179" s="13">
        <v>3</v>
      </c>
      <c r="H179" s="14">
        <v>57.5</v>
      </c>
      <c r="I179" s="15">
        <v>0</v>
      </c>
      <c r="J179" s="13" t="str">
        <f>UPPER(TRIM(Sales_Raw!$K179))</f>
        <v>CARD</v>
      </c>
      <c r="K179" s="13" t="s">
        <v>34</v>
      </c>
      <c r="L179" s="13" t="str">
        <f>PROPER(TRIM(Sales_Raw!$M179))</f>
        <v>Suramangalam</v>
      </c>
      <c r="M179" s="13" t="s">
        <v>40</v>
      </c>
      <c r="N179" s="12" t="s">
        <v>24</v>
      </c>
      <c r="O179" s="13" t="s">
        <v>65</v>
      </c>
      <c r="P179" s="16" t="str">
        <f>VLOOKUP(Sales_Raw!$E179,ProductsMasterTable[#All],2,FALSE)</f>
        <v>Coffee 200g</v>
      </c>
      <c r="Q179" s="16" t="str">
        <f>VLOOKUP(Sales_Raw!$E179,ProductsMasterTable[#All],3,FALSE)</f>
        <v>Beverages</v>
      </c>
      <c r="R179" s="16" t="str">
        <f>VLOOKUP(Sales_Raw!$E179,ProductsMasterTable[#All],4,FALSE)</f>
        <v>Surf</v>
      </c>
      <c r="S179" s="16">
        <f>VLOOKUP(Sales_Raw!$E179,ProductsMasterTable[#All],5,FALSE)</f>
        <v>44.61</v>
      </c>
      <c r="T179" s="16">
        <f>VLOOKUP(Sales_Raw!$E179,ProductsMasterTable[#All],6,FALSE)</f>
        <v>59.33</v>
      </c>
      <c r="U179" s="16" t="str">
        <f>VLOOKUP(Sales_Raw!$E179,ProductsMasterTable[#All],7,FALSE)</f>
        <v>Metro Supply Co</v>
      </c>
      <c r="V179" s="16" t="str">
        <f>IFERROR(VLOOKUP(Sales_Raw!$D179,CustomersMasterTable[#All],2,FALSE),"Guest")</f>
        <v>Keerthi R</v>
      </c>
      <c r="W179" s="16" t="str">
        <f>IFERROR(VLOOKUP(Sales_Raw!$D179,CustomersMasterTable[#All],3,FALSE),"Guest")</f>
        <v>Female</v>
      </c>
      <c r="X179" s="16">
        <f>IFERROR(VLOOKUP(Sales_Raw!$D179,CustomersMasterTable[#All],4,FALSE),"Guest")</f>
        <v>19</v>
      </c>
      <c r="Y179" s="16" t="str">
        <f>IFERROR(VLOOKUP(Sales_Raw!$D179,CustomersMasterTable[#All],5,FALSE),"Guest")</f>
        <v>Dharmapuri</v>
      </c>
      <c r="Z179" s="16" t="str">
        <f>IFERROR(VLOOKUP(Sales_Raw!$D179,CustomersMasterTable[#All],6,FALSE),"Guest")</f>
        <v>Silver</v>
      </c>
      <c r="AA179" s="18">
        <f>IFERROR(VLOOKUP(Sales_Raw!$D179,CustomersMasterTable[#All],7,FALSE),"Guest")</f>
        <v>45883</v>
      </c>
      <c r="AB179" s="23">
        <f>Master_Data[[#This Row],[Qty]]*Master_Data[[#This Row],[Unit_Price]]</f>
        <v>172.5</v>
      </c>
      <c r="AC179" s="23">
        <f>Master_Data[[#This Row],[Gross_ Sales]]*(1-Master_Data[[#This Row],[Discount Percentage]])</f>
        <v>172.5</v>
      </c>
      <c r="AD179" s="23">
        <f>Master_Data[[#This Row],[Net_Sales]]-(Master_Data[[#This Row],[Qty]]*Master_Data[[#This Row],[Cost_Price]])</f>
        <v>38.670000000000016</v>
      </c>
    </row>
    <row r="180" spans="1:30" ht="29.25">
      <c r="A180" s="8" t="s">
        <v>343</v>
      </c>
      <c r="B180" s="27">
        <f>DATEVALUE(Master_Data[[#This Row],[Sale_Date]])</f>
        <v>46244</v>
      </c>
      <c r="C180" s="8" t="s">
        <v>67</v>
      </c>
      <c r="D180" s="8" t="s">
        <v>72</v>
      </c>
      <c r="E180" s="8" t="str">
        <f>UPPER(TRIM(Sales_Raw!$F180))</f>
        <v>P1022</v>
      </c>
      <c r="F180" s="8" t="s">
        <v>140</v>
      </c>
      <c r="G180" s="8">
        <v>5</v>
      </c>
      <c r="H180" s="9">
        <v>124.92</v>
      </c>
      <c r="I180" s="10">
        <v>0.1</v>
      </c>
      <c r="J180" s="8" t="str">
        <f>UPPER(TRIM(Sales_Raw!$K180))</f>
        <v>CASH</v>
      </c>
      <c r="K180" s="8" t="s">
        <v>14</v>
      </c>
      <c r="L180" s="8" t="str">
        <f>PROPER(TRIM(Sales_Raw!$M180))</f>
        <v>Suramangalam</v>
      </c>
      <c r="M180" s="8" t="s">
        <v>40</v>
      </c>
      <c r="N180" s="7" t="s">
        <v>53</v>
      </c>
      <c r="O180" s="8" t="s">
        <v>80</v>
      </c>
      <c r="P180" s="11" t="str">
        <f>VLOOKUP(Sales_Raw!$E180,ProductsMasterTable[#All],2,FALSE)</f>
        <v>Bath Soap</v>
      </c>
      <c r="Q180" s="11" t="str">
        <f>VLOOKUP(Sales_Raw!$E180,ProductsMasterTable[#All],3,FALSE)</f>
        <v>Personal Care</v>
      </c>
      <c r="R180" s="11" t="str">
        <f>VLOOKUP(Sales_Raw!$E180,ProductsMasterTable[#All],4,FALSE)</f>
        <v>LocalFresh</v>
      </c>
      <c r="S180" s="11">
        <f>VLOOKUP(Sales_Raw!$E180,ProductsMasterTable[#All],5,FALSE)</f>
        <v>103.48</v>
      </c>
      <c r="T180" s="11">
        <f>VLOOKUP(Sales_Raw!$E180,ProductsMasterTable[#All],6,FALSE)</f>
        <v>127.78</v>
      </c>
      <c r="U180" s="11" t="str">
        <f>VLOOKUP(Sales_Raw!$E180,ProductsMasterTable[#All],7,FALSE)</f>
        <v>Kongu Distributors</v>
      </c>
      <c r="V180" s="11" t="str">
        <f>IFERROR(VLOOKUP(Sales_Raw!$D180,CustomersMasterTable[#All],2,FALSE),"Guest")</f>
        <v>Meena Priyan</v>
      </c>
      <c r="W180" s="11" t="str">
        <f>IFERROR(VLOOKUP(Sales_Raw!$D180,CustomersMasterTable[#All],3,FALSE),"Guest")</f>
        <v>Male</v>
      </c>
      <c r="X180" s="11">
        <f>IFERROR(VLOOKUP(Sales_Raw!$D180,CustomersMasterTable[#All],4,FALSE),"Guest")</f>
        <v>35</v>
      </c>
      <c r="Y180" s="11" t="str">
        <f>IFERROR(VLOOKUP(Sales_Raw!$D180,CustomersMasterTable[#All],5,FALSE),"Guest")</f>
        <v>Karur</v>
      </c>
      <c r="Z180" s="11" t="str">
        <f>IFERROR(VLOOKUP(Sales_Raw!$D180,CustomersMasterTable[#All],6,FALSE),"Guest")</f>
        <v>Regular</v>
      </c>
      <c r="AA180" s="17">
        <f>IFERROR(VLOOKUP(Sales_Raw!$D180,CustomersMasterTable[#All],7,FALSE),"Guest")</f>
        <v>46210</v>
      </c>
      <c r="AB180" s="23">
        <f>Master_Data[[#This Row],[Qty]]*Master_Data[[#This Row],[Unit_Price]]</f>
        <v>624.6</v>
      </c>
      <c r="AC180" s="23">
        <f>Master_Data[[#This Row],[Gross_ Sales]]*(1-Master_Data[[#This Row],[Discount Percentage]])</f>
        <v>562.14</v>
      </c>
      <c r="AD180" s="23">
        <f>Master_Data[[#This Row],[Net_Sales]]-(Master_Data[[#This Row],[Qty]]*Master_Data[[#This Row],[Cost_Price]])</f>
        <v>44.740000000000009</v>
      </c>
    </row>
    <row r="181" spans="1:30" ht="15">
      <c r="A181" s="13" t="s">
        <v>344</v>
      </c>
      <c r="B181" s="28">
        <f>DATEVALUE(Master_Data[[#This Row],[Sale_Date]])</f>
        <v>46236</v>
      </c>
      <c r="C181" s="13" t="s">
        <v>151</v>
      </c>
      <c r="D181" s="13" t="s">
        <v>105</v>
      </c>
      <c r="E181" s="13" t="str">
        <f>UPPER(TRIM(Sales_Raw!$F181))</f>
        <v>P1002</v>
      </c>
      <c r="F181" s="13" t="s">
        <v>232</v>
      </c>
      <c r="G181" s="13">
        <v>6</v>
      </c>
      <c r="H181" s="14">
        <v>136.37</v>
      </c>
      <c r="I181" s="15">
        <v>0</v>
      </c>
      <c r="J181" s="13" t="str">
        <f>UPPER(TRIM(Sales_Raw!$K181))</f>
        <v>CARD</v>
      </c>
      <c r="K181" s="13" t="s">
        <v>34</v>
      </c>
      <c r="L181" s="13" t="str">
        <f>PROPER(TRIM(Sales_Raw!$M181))</f>
        <v>Fairlands</v>
      </c>
      <c r="M181" s="13" t="s">
        <v>15</v>
      </c>
      <c r="N181" s="12" t="s">
        <v>41</v>
      </c>
      <c r="O181" s="13" t="s">
        <v>54</v>
      </c>
      <c r="P181" s="16" t="str">
        <f>VLOOKUP(Sales_Raw!$E181,ProductsMasterTable[#All],2,FALSE)</f>
        <v>Wheat Flour 5kg</v>
      </c>
      <c r="Q181" s="16" t="str">
        <f>VLOOKUP(Sales_Raw!$E181,ProductsMasterTable[#All],3,FALSE)</f>
        <v>Staples</v>
      </c>
      <c r="R181" s="16" t="str">
        <f>VLOOKUP(Sales_Raw!$E181,ProductsMasterTable[#All],4,FALSE)</f>
        <v>Cavin's</v>
      </c>
      <c r="S181" s="16">
        <f>VLOOKUP(Sales_Raw!$E181,ProductsMasterTable[#All],5,FALSE)</f>
        <v>107.73</v>
      </c>
      <c r="T181" s="16">
        <f>VLOOKUP(Sales_Raw!$E181,ProductsMasterTable[#All],6,FALSE)</f>
        <v>138.91</v>
      </c>
      <c r="U181" s="16" t="str">
        <f>VLOOKUP(Sales_Raw!$E181,ProductsMasterTable[#All],7,FALSE)</f>
        <v>Salem Wholesale Mart</v>
      </c>
      <c r="V181" s="16" t="str">
        <f>IFERROR(VLOOKUP(Sales_Raw!$D181,CustomersMasterTable[#All],2,FALSE),"Guest")</f>
        <v>Nithya R</v>
      </c>
      <c r="W181" s="16" t="str">
        <f>IFERROR(VLOOKUP(Sales_Raw!$D181,CustomersMasterTable[#All],3,FALSE),"Guest")</f>
        <v>Male</v>
      </c>
      <c r="X181" s="16">
        <f>IFERROR(VLOOKUP(Sales_Raw!$D181,CustomersMasterTable[#All],4,FALSE),"Guest")</f>
        <v>26</v>
      </c>
      <c r="Y181" s="16" t="str">
        <f>IFERROR(VLOOKUP(Sales_Raw!$D181,CustomersMasterTable[#All],5,FALSE),"Guest")</f>
        <v>Karur</v>
      </c>
      <c r="Z181" s="16" t="str">
        <f>IFERROR(VLOOKUP(Sales_Raw!$D181,CustomersMasterTable[#All],6,FALSE),"Guest")</f>
        <v>Regular</v>
      </c>
      <c r="AA181" s="18">
        <f>IFERROR(VLOOKUP(Sales_Raw!$D181,CustomersMasterTable[#All],7,FALSE),"Guest")</f>
        <v>46220</v>
      </c>
      <c r="AB181" s="23">
        <f>Master_Data[[#This Row],[Qty]]*Master_Data[[#This Row],[Unit_Price]]</f>
        <v>818.22</v>
      </c>
      <c r="AC181" s="23">
        <f>Master_Data[[#This Row],[Gross_ Sales]]*(1-Master_Data[[#This Row],[Discount Percentage]])</f>
        <v>818.22</v>
      </c>
      <c r="AD181" s="23">
        <f>Master_Data[[#This Row],[Net_Sales]]-(Master_Data[[#This Row],[Qty]]*Master_Data[[#This Row],[Cost_Price]])</f>
        <v>171.84000000000003</v>
      </c>
    </row>
    <row r="182" spans="1:30" ht="15">
      <c r="A182" s="8" t="s">
        <v>345</v>
      </c>
      <c r="B182" s="27">
        <f>DATEVALUE(Master_Data[[#This Row],[Sale_Date]])</f>
        <v>46261</v>
      </c>
      <c r="C182" s="8" t="s">
        <v>32</v>
      </c>
      <c r="D182" s="8" t="s">
        <v>191</v>
      </c>
      <c r="E182" s="8" t="str">
        <f>UPPER(TRIM(Sales_Raw!$F182))</f>
        <v>P1021</v>
      </c>
      <c r="F182" s="8" t="s">
        <v>63</v>
      </c>
      <c r="G182" s="8">
        <v>1</v>
      </c>
      <c r="H182" s="9">
        <v>56.95</v>
      </c>
      <c r="I182" s="10">
        <v>0.15</v>
      </c>
      <c r="J182" s="8" t="str">
        <f>UPPER(TRIM(Sales_Raw!$K182))</f>
        <v>CARD</v>
      </c>
      <c r="K182" s="8" t="s">
        <v>34</v>
      </c>
      <c r="L182" s="8" t="str">
        <f>PROPER(TRIM(Sales_Raw!$M182))</f>
        <v>Hasthampatti</v>
      </c>
      <c r="M182" s="8" t="s">
        <v>23</v>
      </c>
      <c r="N182" s="7" t="s">
        <v>16</v>
      </c>
      <c r="O182" s="8" t="s">
        <v>65</v>
      </c>
      <c r="P182" s="11" t="str">
        <f>VLOOKUP(Sales_Raw!$E182,ProductsMasterTable[#All],2,FALSE)</f>
        <v>Coffee 200g</v>
      </c>
      <c r="Q182" s="11" t="str">
        <f>VLOOKUP(Sales_Raw!$E182,ProductsMasterTable[#All],3,FALSE)</f>
        <v>Beverages</v>
      </c>
      <c r="R182" s="11" t="str">
        <f>VLOOKUP(Sales_Raw!$E182,ProductsMasterTable[#All],4,FALSE)</f>
        <v>Surf</v>
      </c>
      <c r="S182" s="11">
        <f>VLOOKUP(Sales_Raw!$E182,ProductsMasterTable[#All],5,FALSE)</f>
        <v>44.61</v>
      </c>
      <c r="T182" s="11">
        <f>VLOOKUP(Sales_Raw!$E182,ProductsMasterTable[#All],6,FALSE)</f>
        <v>59.33</v>
      </c>
      <c r="U182" s="11" t="str">
        <f>VLOOKUP(Sales_Raw!$E182,ProductsMasterTable[#All],7,FALSE)</f>
        <v>Metro Supply Co</v>
      </c>
      <c r="V182" s="11" t="str">
        <f>IFERROR(VLOOKUP(Sales_Raw!$D182,CustomersMasterTable[#All],2,FALSE),"Guest")</f>
        <v>Divya Devi</v>
      </c>
      <c r="W182" s="11" t="str">
        <f>IFERROR(VLOOKUP(Sales_Raw!$D182,CustomersMasterTable[#All],3,FALSE),"Guest")</f>
        <v>Female</v>
      </c>
      <c r="X182" s="11">
        <f>IFERROR(VLOOKUP(Sales_Raw!$D182,CustomersMasterTable[#All],4,FALSE),"Guest")</f>
        <v>60</v>
      </c>
      <c r="Y182" s="11" t="str">
        <f>IFERROR(VLOOKUP(Sales_Raw!$D182,CustomersMasterTable[#All],5,FALSE),"Guest")</f>
        <v>Karur</v>
      </c>
      <c r="Z182" s="11" t="str">
        <f>IFERROR(VLOOKUP(Sales_Raw!$D182,CustomersMasterTable[#All],6,FALSE),"Guest")</f>
        <v>Silver</v>
      </c>
      <c r="AA182" s="17">
        <f>IFERROR(VLOOKUP(Sales_Raw!$D182,CustomersMasterTable[#All],7,FALSE),"Guest")</f>
        <v>45931</v>
      </c>
      <c r="AB182" s="23">
        <f>Master_Data[[#This Row],[Qty]]*Master_Data[[#This Row],[Unit_Price]]</f>
        <v>56.95</v>
      </c>
      <c r="AC182" s="23">
        <f>Master_Data[[#This Row],[Gross_ Sales]]*(1-Master_Data[[#This Row],[Discount Percentage]])</f>
        <v>48.407499999999999</v>
      </c>
      <c r="AD182" s="23">
        <f>Master_Data[[#This Row],[Net_Sales]]-(Master_Data[[#This Row],[Qty]]*Master_Data[[#This Row],[Cost_Price]])</f>
        <v>3.7974999999999994</v>
      </c>
    </row>
    <row r="183" spans="1:30" ht="29.25">
      <c r="A183" s="13" t="s">
        <v>346</v>
      </c>
      <c r="B183" s="28">
        <f>DATEVALUE(Master_Data[[#This Row],[Sale_Date]])</f>
        <v>46265</v>
      </c>
      <c r="C183" s="13" t="s">
        <v>126</v>
      </c>
      <c r="D183" s="13" t="s">
        <v>68</v>
      </c>
      <c r="E183" s="13" t="str">
        <f>UPPER(TRIM(Sales_Raw!$F183))</f>
        <v>P1026</v>
      </c>
      <c r="F183" s="13" t="s">
        <v>108</v>
      </c>
      <c r="G183" s="13">
        <v>6</v>
      </c>
      <c r="H183" s="14">
        <v>266.67</v>
      </c>
      <c r="I183" s="15">
        <v>0.05</v>
      </c>
      <c r="J183" s="13" t="str">
        <f>UPPER(TRIM(Sales_Raw!$K183))</f>
        <v>UPI</v>
      </c>
      <c r="K183" s="13" t="s">
        <v>22</v>
      </c>
      <c r="L183" s="13" t="str">
        <f>PROPER(TRIM(Sales_Raw!$M183))</f>
        <v>Suramangalam</v>
      </c>
      <c r="M183" s="13" t="s">
        <v>171</v>
      </c>
      <c r="N183" s="12" t="s">
        <v>53</v>
      </c>
      <c r="O183" s="13" t="s">
        <v>25</v>
      </c>
      <c r="P183" s="16" t="str">
        <f>VLOOKUP(Sales_Raw!$E183,ProductsMasterTable[#All],2,FALSE)</f>
        <v>Dishwash Liquid</v>
      </c>
      <c r="Q183" s="16" t="str">
        <f>VLOOKUP(Sales_Raw!$E183,ProductsMasterTable[#All],3,FALSE)</f>
        <v>Household</v>
      </c>
      <c r="R183" s="16" t="str">
        <f>VLOOKUP(Sales_Raw!$E183,ProductsMasterTable[#All],4,FALSE)</f>
        <v>Aavin</v>
      </c>
      <c r="S183" s="16">
        <f>VLOOKUP(Sales_Raw!$E183,ProductsMasterTable[#All],5,FALSE)</f>
        <v>216.39</v>
      </c>
      <c r="T183" s="16">
        <f>VLOOKUP(Sales_Raw!$E183,ProductsMasterTable[#All],6,FALSE)</f>
        <v>279.97000000000003</v>
      </c>
      <c r="U183" s="16" t="str">
        <f>VLOOKUP(Sales_Raw!$E183,ProductsMasterTable[#All],7,FALSE)</f>
        <v>Kongu Distributors</v>
      </c>
      <c r="V183" s="16" t="str">
        <f>IFERROR(VLOOKUP(Sales_Raw!$D183,CustomersMasterTable[#All],2,FALSE),"Guest")</f>
        <v>Sanjay Babu</v>
      </c>
      <c r="W183" s="16" t="str">
        <f>IFERROR(VLOOKUP(Sales_Raw!$D183,CustomersMasterTable[#All],3,FALSE),"Guest")</f>
        <v>Male</v>
      </c>
      <c r="X183" s="16">
        <f>IFERROR(VLOOKUP(Sales_Raw!$D183,CustomersMasterTable[#All],4,FALSE),"Guest")</f>
        <v>22</v>
      </c>
      <c r="Y183" s="16" t="str">
        <f>IFERROR(VLOOKUP(Sales_Raw!$D183,CustomersMasterTable[#All],5,FALSE),"Guest")</f>
        <v>Coimbatore</v>
      </c>
      <c r="Z183" s="16" t="str">
        <f>IFERROR(VLOOKUP(Sales_Raw!$D183,CustomersMasterTable[#All],6,FALSE),"Guest")</f>
        <v>Silver</v>
      </c>
      <c r="AA183" s="18">
        <f>IFERROR(VLOOKUP(Sales_Raw!$D183,CustomersMasterTable[#All],7,FALSE),"Guest")</f>
        <v>46221</v>
      </c>
      <c r="AB183" s="23">
        <f>Master_Data[[#This Row],[Qty]]*Master_Data[[#This Row],[Unit_Price]]</f>
        <v>1600.02</v>
      </c>
      <c r="AC183" s="23">
        <f>Master_Data[[#This Row],[Gross_ Sales]]*(1-Master_Data[[#This Row],[Discount Percentage]])</f>
        <v>1520.019</v>
      </c>
      <c r="AD183" s="23">
        <f>Master_Data[[#This Row],[Net_Sales]]-(Master_Data[[#This Row],[Qty]]*Master_Data[[#This Row],[Cost_Price]])</f>
        <v>221.67900000000009</v>
      </c>
    </row>
    <row r="184" spans="1:30" ht="15">
      <c r="A184" s="8" t="s">
        <v>347</v>
      </c>
      <c r="B184" s="27">
        <f>DATEVALUE(Master_Data[[#This Row],[Sale_Date]])</f>
        <v>46245</v>
      </c>
      <c r="C184" s="8" t="s">
        <v>145</v>
      </c>
      <c r="D184" s="8" t="s">
        <v>107</v>
      </c>
      <c r="E184" s="8" t="str">
        <f>UPPER(TRIM(Sales_Raw!$F184))</f>
        <v>P1014</v>
      </c>
      <c r="F184" s="8" t="s">
        <v>29</v>
      </c>
      <c r="G184" s="8">
        <v>4</v>
      </c>
      <c r="H184" s="9">
        <v>521.84</v>
      </c>
      <c r="I184" s="10">
        <v>0</v>
      </c>
      <c r="J184" s="8" t="str">
        <f>UPPER(TRIM(Sales_Raw!$K184))</f>
        <v>CARD</v>
      </c>
      <c r="K184" s="8" t="s">
        <v>34</v>
      </c>
      <c r="L184" s="8" t="str">
        <f>PROPER(TRIM(Sales_Raw!$M184))</f>
        <v>Fairlands</v>
      </c>
      <c r="M184" s="8" t="s">
        <v>15</v>
      </c>
      <c r="N184" s="7" t="s">
        <v>16</v>
      </c>
      <c r="O184" s="8" t="s">
        <v>30</v>
      </c>
      <c r="P184" s="11" t="str">
        <f>VLOOKUP(Sales_Raw!$E184,ProductsMasterTable[#All],2,FALSE)</f>
        <v>Mixture 250g</v>
      </c>
      <c r="Q184" s="11" t="str">
        <f>VLOOKUP(Sales_Raw!$E184,ProductsMasterTable[#All],3,FALSE)</f>
        <v>Snacks</v>
      </c>
      <c r="R184" s="11" t="str">
        <f>VLOOKUP(Sales_Raw!$E184,ProductsMasterTable[#All],4,FALSE)</f>
        <v>Aavin</v>
      </c>
      <c r="S184" s="11">
        <f>VLOOKUP(Sales_Raw!$E184,ProductsMasterTable[#All],5,FALSE)</f>
        <v>414.06</v>
      </c>
      <c r="T184" s="11">
        <f>VLOOKUP(Sales_Raw!$E184,ProductsMasterTable[#All],6,FALSE)</f>
        <v>545.20000000000005</v>
      </c>
      <c r="U184" s="11" t="str">
        <f>VLOOKUP(Sales_Raw!$E184,ProductsMasterTable[#All],7,FALSE)</f>
        <v>FreshLine Traders</v>
      </c>
      <c r="V184" s="11" t="str">
        <f>IFERROR(VLOOKUP(Sales_Raw!$D184,CustomersMasterTable[#All],2,FALSE),"Guest")</f>
        <v>Meena M</v>
      </c>
      <c r="W184" s="11" t="str">
        <f>IFERROR(VLOOKUP(Sales_Raw!$D184,CustomersMasterTable[#All],3,FALSE),"Guest")</f>
        <v>Female</v>
      </c>
      <c r="X184" s="11">
        <f>IFERROR(VLOOKUP(Sales_Raw!$D184,CustomersMasterTable[#All],4,FALSE),"Guest")</f>
        <v>36</v>
      </c>
      <c r="Y184" s="11" t="str">
        <f>IFERROR(VLOOKUP(Sales_Raw!$D184,CustomersMasterTable[#All],5,FALSE),"Guest")</f>
        <v>Erode</v>
      </c>
      <c r="Z184" s="11" t="str">
        <f>IFERROR(VLOOKUP(Sales_Raw!$D184,CustomersMasterTable[#All],6,FALSE),"Guest")</f>
        <v>Regular</v>
      </c>
      <c r="AA184" s="17">
        <f>IFERROR(VLOOKUP(Sales_Raw!$D184,CustomersMasterTable[#All],7,FALSE),"Guest")</f>
        <v>46214</v>
      </c>
      <c r="AB184" s="23">
        <f>Master_Data[[#This Row],[Qty]]*Master_Data[[#This Row],[Unit_Price]]</f>
        <v>2087.36</v>
      </c>
      <c r="AC184" s="23">
        <f>Master_Data[[#This Row],[Gross_ Sales]]*(1-Master_Data[[#This Row],[Discount Percentage]])</f>
        <v>2087.36</v>
      </c>
      <c r="AD184" s="23">
        <f>Master_Data[[#This Row],[Net_Sales]]-(Master_Data[[#This Row],[Qty]]*Master_Data[[#This Row],[Cost_Price]])</f>
        <v>431.12000000000012</v>
      </c>
    </row>
    <row r="185" spans="1:30" ht="29.25">
      <c r="A185" s="13" t="s">
        <v>348</v>
      </c>
      <c r="B185" s="28">
        <f>DATEVALUE(Master_Data[[#This Row],[Sale_Date]])</f>
        <v>46255</v>
      </c>
      <c r="C185" s="13" t="s">
        <v>158</v>
      </c>
      <c r="D185" s="13" t="s">
        <v>235</v>
      </c>
      <c r="E185" s="13" t="str">
        <f>UPPER(TRIM(Sales_Raw!$F185))</f>
        <v>P1028</v>
      </c>
      <c r="F185" s="13" t="s">
        <v>124</v>
      </c>
      <c r="G185" s="13">
        <v>3</v>
      </c>
      <c r="H185" s="14">
        <v>52.49</v>
      </c>
      <c r="I185" s="15">
        <v>0</v>
      </c>
      <c r="J185" s="13" t="str">
        <f>UPPER(TRIM(Sales_Raw!$K185))</f>
        <v>CASH</v>
      </c>
      <c r="K185" s="13" t="s">
        <v>14</v>
      </c>
      <c r="L185" s="13" t="str">
        <f>PROPER(TRIM(Sales_Raw!$M185))</f>
        <v>Suramangalam</v>
      </c>
      <c r="M185" s="13" t="s">
        <v>40</v>
      </c>
      <c r="N185" s="12" t="s">
        <v>41</v>
      </c>
      <c r="O185" s="13" t="s">
        <v>54</v>
      </c>
      <c r="P185" s="16" t="str">
        <f>VLOOKUP(Sales_Raw!$E185,ProductsMasterTable[#All],2,FALSE)</f>
        <v>Floor Cleaner 1L</v>
      </c>
      <c r="Q185" s="16" t="str">
        <f>VLOOKUP(Sales_Raw!$E185,ProductsMasterTable[#All],3,FALSE)</f>
        <v>Household</v>
      </c>
      <c r="R185" s="16" t="str">
        <f>VLOOKUP(Sales_Raw!$E185,ProductsMasterTable[#All],4,FALSE)</f>
        <v>LocalFresh</v>
      </c>
      <c r="S185" s="16">
        <f>VLOOKUP(Sales_Raw!$E185,ProductsMasterTable[#All],5,FALSE)</f>
        <v>43.54</v>
      </c>
      <c r="T185" s="16">
        <f>VLOOKUP(Sales_Raw!$E185,ProductsMasterTable[#All],6,FALSE)</f>
        <v>52.59</v>
      </c>
      <c r="U185" s="16" t="str">
        <f>VLOOKUP(Sales_Raw!$E185,ProductsMasterTable[#All],7,FALSE)</f>
        <v>Sri Ganesh Agencies</v>
      </c>
      <c r="V185" s="16" t="str">
        <f>IFERROR(VLOOKUP(Sales_Raw!$D185,CustomersMasterTable[#All],2,FALSE),"Guest")</f>
        <v>Swetha Kumar</v>
      </c>
      <c r="W185" s="16" t="str">
        <f>IFERROR(VLOOKUP(Sales_Raw!$D185,CustomersMasterTable[#All],3,FALSE),"Guest")</f>
        <v>Male</v>
      </c>
      <c r="X185" s="16">
        <f>IFERROR(VLOOKUP(Sales_Raw!$D185,CustomersMasterTable[#All],4,FALSE),"Guest")</f>
        <v>41</v>
      </c>
      <c r="Y185" s="16" t="str">
        <f>IFERROR(VLOOKUP(Sales_Raw!$D185,CustomersMasterTable[#All],5,FALSE),"Guest")</f>
        <v>Coimbatore</v>
      </c>
      <c r="Z185" s="16" t="str">
        <f>IFERROR(VLOOKUP(Sales_Raw!$D185,CustomersMasterTable[#All],6,FALSE),"Guest")</f>
        <v>Regular</v>
      </c>
      <c r="AA185" s="18">
        <f>IFERROR(VLOOKUP(Sales_Raw!$D185,CustomersMasterTable[#All],7,FALSE),"Guest")</f>
        <v>45996</v>
      </c>
      <c r="AB185" s="23">
        <f>Master_Data[[#This Row],[Qty]]*Master_Data[[#This Row],[Unit_Price]]</f>
        <v>157.47</v>
      </c>
      <c r="AC185" s="23">
        <f>Master_Data[[#This Row],[Gross_ Sales]]*(1-Master_Data[[#This Row],[Discount Percentage]])</f>
        <v>157.47</v>
      </c>
      <c r="AD185" s="23">
        <f>Master_Data[[#This Row],[Net_Sales]]-(Master_Data[[#This Row],[Qty]]*Master_Data[[#This Row],[Cost_Price]])</f>
        <v>26.849999999999994</v>
      </c>
    </row>
    <row r="186" spans="1:30" ht="15">
      <c r="A186" s="8" t="s">
        <v>349</v>
      </c>
      <c r="B186" s="27">
        <f>DATEVALUE(Master_Data[[#This Row],[Sale_Date]])</f>
        <v>46255</v>
      </c>
      <c r="C186" s="8" t="s">
        <v>158</v>
      </c>
      <c r="D186" s="8" t="s">
        <v>68</v>
      </c>
      <c r="E186" s="8" t="str">
        <f>UPPER(TRIM(Sales_Raw!$F186))</f>
        <v>P1015</v>
      </c>
      <c r="F186" s="8" t="s">
        <v>48</v>
      </c>
      <c r="G186" s="8">
        <v>1</v>
      </c>
      <c r="H186" s="9">
        <v>154.66</v>
      </c>
      <c r="I186" s="10">
        <v>0</v>
      </c>
      <c r="J186" s="8" t="str">
        <f>UPPER(TRIM(Sales_Raw!$K186))</f>
        <v>UPI</v>
      </c>
      <c r="K186" s="8" t="s">
        <v>22</v>
      </c>
      <c r="L186" s="8" t="str">
        <f>PROPER(TRIM(Sales_Raw!$M186))</f>
        <v>Fairlands</v>
      </c>
      <c r="M186" s="8" t="s">
        <v>15</v>
      </c>
      <c r="N186" s="7" t="s">
        <v>53</v>
      </c>
      <c r="O186" s="8" t="s">
        <v>30</v>
      </c>
      <c r="P186" s="11" t="str">
        <f>VLOOKUP(Sales_Raw!$E186,ProductsMasterTable[#All],2,FALSE)</f>
        <v>Biscuits Pack</v>
      </c>
      <c r="Q186" s="11" t="str">
        <f>VLOOKUP(Sales_Raw!$E186,ProductsMasterTable[#All],3,FALSE)</f>
        <v>Snacks</v>
      </c>
      <c r="R186" s="11" t="str">
        <f>VLOOKUP(Sales_Raw!$E186,ProductsMasterTable[#All],4,FALSE)</f>
        <v>HUL</v>
      </c>
      <c r="S186" s="11">
        <f>VLOOKUP(Sales_Raw!$E186,ProductsMasterTable[#All],5,FALSE)</f>
        <v>129.75</v>
      </c>
      <c r="T186" s="11">
        <f>VLOOKUP(Sales_Raw!$E186,ProductsMasterTable[#All],6,FALSE)</f>
        <v>164.29</v>
      </c>
      <c r="U186" s="11" t="str">
        <f>VLOOKUP(Sales_Raw!$E186,ProductsMasterTable[#All],7,FALSE)</f>
        <v>Kongu Distributors</v>
      </c>
      <c r="V186" s="11" t="str">
        <f>IFERROR(VLOOKUP(Sales_Raw!$D186,CustomersMasterTable[#All],2,FALSE),"Guest")</f>
        <v>Sanjay Babu</v>
      </c>
      <c r="W186" s="11" t="str">
        <f>IFERROR(VLOOKUP(Sales_Raw!$D186,CustomersMasterTable[#All],3,FALSE),"Guest")</f>
        <v>Male</v>
      </c>
      <c r="X186" s="11">
        <f>IFERROR(VLOOKUP(Sales_Raw!$D186,CustomersMasterTable[#All],4,FALSE),"Guest")</f>
        <v>22</v>
      </c>
      <c r="Y186" s="11" t="str">
        <f>IFERROR(VLOOKUP(Sales_Raw!$D186,CustomersMasterTable[#All],5,FALSE),"Guest")</f>
        <v>Coimbatore</v>
      </c>
      <c r="Z186" s="11" t="str">
        <f>IFERROR(VLOOKUP(Sales_Raw!$D186,CustomersMasterTable[#All],6,FALSE),"Guest")</f>
        <v>Silver</v>
      </c>
      <c r="AA186" s="17">
        <f>IFERROR(VLOOKUP(Sales_Raw!$D186,CustomersMasterTable[#All],7,FALSE),"Guest")</f>
        <v>46221</v>
      </c>
      <c r="AB186" s="23">
        <f>Master_Data[[#This Row],[Qty]]*Master_Data[[#This Row],[Unit_Price]]</f>
        <v>154.66</v>
      </c>
      <c r="AC186" s="23">
        <f>Master_Data[[#This Row],[Gross_ Sales]]*(1-Master_Data[[#This Row],[Discount Percentage]])</f>
        <v>154.66</v>
      </c>
      <c r="AD186" s="23">
        <f>Master_Data[[#This Row],[Net_Sales]]-(Master_Data[[#This Row],[Qty]]*Master_Data[[#This Row],[Cost_Price]])</f>
        <v>24.909999999999997</v>
      </c>
    </row>
    <row r="187" spans="1:30" ht="29.25">
      <c r="A187" s="13" t="s">
        <v>350</v>
      </c>
      <c r="B187" s="28">
        <f>DATEVALUE(Master_Data[[#This Row],[Sale_Date]])</f>
        <v>46253</v>
      </c>
      <c r="C187" s="13" t="s">
        <v>199</v>
      </c>
      <c r="D187" s="13" t="s">
        <v>33</v>
      </c>
      <c r="E187" s="13" t="str">
        <f>UPPER(TRIM(Sales_Raw!$F187))</f>
        <v>P1028</v>
      </c>
      <c r="F187" s="13" t="s">
        <v>124</v>
      </c>
      <c r="G187" s="13">
        <v>5</v>
      </c>
      <c r="H187" s="14">
        <v>50.14</v>
      </c>
      <c r="I187" s="15">
        <v>0</v>
      </c>
      <c r="J187" s="13" t="str">
        <f>UPPER(TRIM(Sales_Raw!$K187))</f>
        <v>CASH</v>
      </c>
      <c r="K187" s="13" t="s">
        <v>14</v>
      </c>
      <c r="L187" s="13" t="str">
        <f>PROPER(TRIM(Sales_Raw!$M187))</f>
        <v>Suramangalam</v>
      </c>
      <c r="M187" s="13" t="s">
        <v>40</v>
      </c>
      <c r="N187" s="12" t="s">
        <v>16</v>
      </c>
      <c r="O187" s="13" t="s">
        <v>25</v>
      </c>
      <c r="P187" s="16" t="str">
        <f>VLOOKUP(Sales_Raw!$E187,ProductsMasterTable[#All],2,FALSE)</f>
        <v>Floor Cleaner 1L</v>
      </c>
      <c r="Q187" s="16" t="str">
        <f>VLOOKUP(Sales_Raw!$E187,ProductsMasterTable[#All],3,FALSE)</f>
        <v>Household</v>
      </c>
      <c r="R187" s="16" t="str">
        <f>VLOOKUP(Sales_Raw!$E187,ProductsMasterTable[#All],4,FALSE)</f>
        <v>LocalFresh</v>
      </c>
      <c r="S187" s="16">
        <f>VLOOKUP(Sales_Raw!$E187,ProductsMasterTable[#All],5,FALSE)</f>
        <v>43.54</v>
      </c>
      <c r="T187" s="16">
        <f>VLOOKUP(Sales_Raw!$E187,ProductsMasterTable[#All],6,FALSE)</f>
        <v>52.59</v>
      </c>
      <c r="U187" s="16" t="str">
        <f>VLOOKUP(Sales_Raw!$E187,ProductsMasterTable[#All],7,FALSE)</f>
        <v>Sri Ganesh Agencies</v>
      </c>
      <c r="V187" s="16" t="str">
        <f>IFERROR(VLOOKUP(Sales_Raw!$D187,CustomersMasterTable[#All],2,FALSE),"Guest")</f>
        <v>Surya Priyan</v>
      </c>
      <c r="W187" s="16" t="str">
        <f>IFERROR(VLOOKUP(Sales_Raw!$D187,CustomersMasterTable[#All],3,FALSE),"Guest")</f>
        <v>Female</v>
      </c>
      <c r="X187" s="16">
        <f>IFERROR(VLOOKUP(Sales_Raw!$D187,CustomersMasterTable[#All],4,FALSE),"Guest")</f>
        <v>34</v>
      </c>
      <c r="Y187" s="16" t="str">
        <f>IFERROR(VLOOKUP(Sales_Raw!$D187,CustomersMasterTable[#All],5,FALSE),"Guest")</f>
        <v>Erode</v>
      </c>
      <c r="Z187" s="16" t="str">
        <f>IFERROR(VLOOKUP(Sales_Raw!$D187,CustomersMasterTable[#All],6,FALSE),"Guest")</f>
        <v>Silver</v>
      </c>
      <c r="AA187" s="18">
        <f>IFERROR(VLOOKUP(Sales_Raw!$D187,CustomersMasterTable[#All],7,FALSE),"Guest")</f>
        <v>45979</v>
      </c>
      <c r="AB187" s="23">
        <f>Master_Data[[#This Row],[Qty]]*Master_Data[[#This Row],[Unit_Price]]</f>
        <v>250.7</v>
      </c>
      <c r="AC187" s="23">
        <f>Master_Data[[#This Row],[Gross_ Sales]]*(1-Master_Data[[#This Row],[Discount Percentage]])</f>
        <v>250.7</v>
      </c>
      <c r="AD187" s="23">
        <f>Master_Data[[#This Row],[Net_Sales]]-(Master_Data[[#This Row],[Qty]]*Master_Data[[#This Row],[Cost_Price]])</f>
        <v>33</v>
      </c>
    </row>
    <row r="188" spans="1:30" ht="15">
      <c r="A188" s="8" t="s">
        <v>351</v>
      </c>
      <c r="B188" s="27">
        <f>DATEVALUE(Master_Data[[#This Row],[Sale_Date]])</f>
        <v>46247</v>
      </c>
      <c r="C188" s="8" t="s">
        <v>104</v>
      </c>
      <c r="D188" s="8" t="s">
        <v>116</v>
      </c>
      <c r="E188" s="8" t="str">
        <f>UPPER(TRIM(Sales_Raw!$F188))</f>
        <v>P1006</v>
      </c>
      <c r="F188" s="8" t="s">
        <v>284</v>
      </c>
      <c r="G188" s="8">
        <v>4</v>
      </c>
      <c r="H188" s="9">
        <v>235.04</v>
      </c>
      <c r="I188" s="10">
        <v>0.05</v>
      </c>
      <c r="J188" s="8" t="str">
        <f>UPPER(TRIM(Sales_Raw!$K188))</f>
        <v>CASH</v>
      </c>
      <c r="K188" s="8" t="s">
        <v>14</v>
      </c>
      <c r="L188" s="8" t="str">
        <f>PROPER(TRIM(Sales_Raw!$M188))</f>
        <v>Hasthampatti</v>
      </c>
      <c r="M188" s="8" t="s">
        <v>23</v>
      </c>
      <c r="N188" s="7" t="s">
        <v>35</v>
      </c>
      <c r="O188" s="8" t="s">
        <v>54</v>
      </c>
      <c r="P188" s="11" t="str">
        <f>VLOOKUP(Sales_Raw!$E188,ProductsMasterTable[#All],2,FALSE)</f>
        <v>Salt 1kg</v>
      </c>
      <c r="Q188" s="11" t="str">
        <f>VLOOKUP(Sales_Raw!$E188,ProductsMasterTable[#All],3,FALSE)</f>
        <v>Staples</v>
      </c>
      <c r="R188" s="11" t="str">
        <f>VLOOKUP(Sales_Raw!$E188,ProductsMasterTable[#All],4,FALSE)</f>
        <v>Aachi</v>
      </c>
      <c r="S188" s="11">
        <f>VLOOKUP(Sales_Raw!$E188,ProductsMasterTable[#All],5,FALSE)</f>
        <v>198.58</v>
      </c>
      <c r="T188" s="11">
        <f>VLOOKUP(Sales_Raw!$E188,ProductsMasterTable[#All],6,FALSE)</f>
        <v>235.12</v>
      </c>
      <c r="U188" s="11" t="str">
        <f>VLOOKUP(Sales_Raw!$E188,ProductsMasterTable[#All],7,FALSE)</f>
        <v>Kongu Distributors</v>
      </c>
      <c r="V188" s="11" t="str">
        <f>IFERROR(VLOOKUP(Sales_Raw!$D188,CustomersMasterTable[#All],2,FALSE),"Guest")</f>
        <v>Harish Selvam</v>
      </c>
      <c r="W188" s="11" t="str">
        <f>IFERROR(VLOOKUP(Sales_Raw!$D188,CustomersMasterTable[#All],3,FALSE),"Guest")</f>
        <v>Female</v>
      </c>
      <c r="X188" s="11">
        <f>IFERROR(VLOOKUP(Sales_Raw!$D188,CustomersMasterTable[#All],4,FALSE),"Guest")</f>
        <v>53</v>
      </c>
      <c r="Y188" s="11" t="str">
        <f>IFERROR(VLOOKUP(Sales_Raw!$D188,CustomersMasterTable[#All],5,FALSE),"Guest")</f>
        <v>Erode</v>
      </c>
      <c r="Z188" s="11" t="str">
        <f>IFERROR(VLOOKUP(Sales_Raw!$D188,CustomersMasterTable[#All],6,FALSE),"Guest")</f>
        <v>Regular</v>
      </c>
      <c r="AA188" s="17">
        <f>IFERROR(VLOOKUP(Sales_Raw!$D188,CustomersMasterTable[#All],7,FALSE),"Guest")</f>
        <v>46046</v>
      </c>
      <c r="AB188" s="23">
        <f>Master_Data[[#This Row],[Qty]]*Master_Data[[#This Row],[Unit_Price]]</f>
        <v>940.16</v>
      </c>
      <c r="AC188" s="23">
        <f>Master_Data[[#This Row],[Gross_ Sales]]*(1-Master_Data[[#This Row],[Discount Percentage]])</f>
        <v>893.15199999999993</v>
      </c>
      <c r="AD188" s="23">
        <f>Master_Data[[#This Row],[Net_Sales]]-(Master_Data[[#This Row],[Qty]]*Master_Data[[#This Row],[Cost_Price]])</f>
        <v>98.83199999999988</v>
      </c>
    </row>
    <row r="189" spans="1:30" ht="29.25">
      <c r="A189" s="13" t="s">
        <v>352</v>
      </c>
      <c r="B189" s="28">
        <f>DATEVALUE(Master_Data[[#This Row],[Sale_Date]])</f>
        <v>46236</v>
      </c>
      <c r="C189" s="13" t="s">
        <v>353</v>
      </c>
      <c r="D189" s="13" t="s">
        <v>105</v>
      </c>
      <c r="E189" s="13" t="str">
        <f>UPPER(TRIM(Sales_Raw!$F189))</f>
        <v>P1013</v>
      </c>
      <c r="F189" s="13" t="s">
        <v>176</v>
      </c>
      <c r="G189" s="13">
        <v>5</v>
      </c>
      <c r="H189" s="14">
        <v>103.56</v>
      </c>
      <c r="I189" s="15">
        <v>0</v>
      </c>
      <c r="J189" s="13" t="str">
        <f>UPPER(TRIM(Sales_Raw!$K189))</f>
        <v>UPI</v>
      </c>
      <c r="K189" s="13" t="s">
        <v>22</v>
      </c>
      <c r="L189" s="13" t="str">
        <f>PROPER(TRIM(Sales_Raw!$M189))</f>
        <v>Suramangalam</v>
      </c>
      <c r="M189" s="13" t="s">
        <v>40</v>
      </c>
      <c r="N189" s="12" t="s">
        <v>16</v>
      </c>
      <c r="O189" s="13" t="s">
        <v>30</v>
      </c>
      <c r="P189" s="16" t="str">
        <f>VLOOKUP(Sales_Raw!$E189,ProductsMasterTable[#All],2,FALSE)</f>
        <v>Banana Chips</v>
      </c>
      <c r="Q189" s="16" t="str">
        <f>VLOOKUP(Sales_Raw!$E189,ProductsMasterTable[#All],3,FALSE)</f>
        <v>Snacks</v>
      </c>
      <c r="R189" s="16" t="str">
        <f>VLOOKUP(Sales_Raw!$E189,ProductsMasterTable[#All],4,FALSE)</f>
        <v>Tata</v>
      </c>
      <c r="S189" s="16">
        <f>VLOOKUP(Sales_Raw!$E189,ProductsMasterTable[#All],5,FALSE)</f>
        <v>95.3</v>
      </c>
      <c r="T189" s="16">
        <f>VLOOKUP(Sales_Raw!$E189,ProductsMasterTable[#All],6,FALSE)</f>
        <v>108.26</v>
      </c>
      <c r="U189" s="16" t="str">
        <f>VLOOKUP(Sales_Raw!$E189,ProductsMasterTable[#All],7,FALSE)</f>
        <v>Metro Supply Co</v>
      </c>
      <c r="V189" s="16" t="str">
        <f>IFERROR(VLOOKUP(Sales_Raw!$D189,CustomersMasterTable[#All],2,FALSE),"Guest")</f>
        <v>Nithya R</v>
      </c>
      <c r="W189" s="16" t="str">
        <f>IFERROR(VLOOKUP(Sales_Raw!$D189,CustomersMasterTable[#All],3,FALSE),"Guest")</f>
        <v>Male</v>
      </c>
      <c r="X189" s="16">
        <f>IFERROR(VLOOKUP(Sales_Raw!$D189,CustomersMasterTable[#All],4,FALSE),"Guest")</f>
        <v>26</v>
      </c>
      <c r="Y189" s="16" t="str">
        <f>IFERROR(VLOOKUP(Sales_Raw!$D189,CustomersMasterTable[#All],5,FALSE),"Guest")</f>
        <v>Karur</v>
      </c>
      <c r="Z189" s="16" t="str">
        <f>IFERROR(VLOOKUP(Sales_Raw!$D189,CustomersMasterTable[#All],6,FALSE),"Guest")</f>
        <v>Regular</v>
      </c>
      <c r="AA189" s="18">
        <f>IFERROR(VLOOKUP(Sales_Raw!$D189,CustomersMasterTable[#All],7,FALSE),"Guest")</f>
        <v>46220</v>
      </c>
      <c r="AB189" s="23">
        <f>Master_Data[[#This Row],[Qty]]*Master_Data[[#This Row],[Unit_Price]]</f>
        <v>517.79999999999995</v>
      </c>
      <c r="AC189" s="23">
        <f>Master_Data[[#This Row],[Gross_ Sales]]*(1-Master_Data[[#This Row],[Discount Percentage]])</f>
        <v>517.79999999999995</v>
      </c>
      <c r="AD189" s="23">
        <f>Master_Data[[#This Row],[Net_Sales]]-(Master_Data[[#This Row],[Qty]]*Master_Data[[#This Row],[Cost_Price]])</f>
        <v>41.299999999999955</v>
      </c>
    </row>
    <row r="190" spans="1:30" ht="15">
      <c r="A190" s="8" t="s">
        <v>354</v>
      </c>
      <c r="B190" s="27">
        <f>DATEVALUE(Master_Data[[#This Row],[Sale_Date]])</f>
        <v>46238</v>
      </c>
      <c r="C190" s="8" t="s">
        <v>278</v>
      </c>
      <c r="D190" s="8" t="s">
        <v>221</v>
      </c>
      <c r="E190" s="8" t="str">
        <f>UPPER(TRIM(Sales_Raw!$F190))</f>
        <v>P1010</v>
      </c>
      <c r="F190" s="8" t="s">
        <v>39</v>
      </c>
      <c r="G190" s="8">
        <v>4</v>
      </c>
      <c r="H190" s="9">
        <v>426.85</v>
      </c>
      <c r="I190" s="10">
        <v>0.15</v>
      </c>
      <c r="J190" s="8" t="str">
        <f>UPPER(TRIM(Sales_Raw!$K190))</f>
        <v>CARD</v>
      </c>
      <c r="K190" s="8" t="s">
        <v>34</v>
      </c>
      <c r="L190" s="8" t="str">
        <f>PROPER(TRIM(Sales_Raw!$M190))</f>
        <v>Hasthampatti</v>
      </c>
      <c r="M190" s="8" t="s">
        <v>23</v>
      </c>
      <c r="N190" s="7" t="s">
        <v>16</v>
      </c>
      <c r="O190" s="8" t="s">
        <v>17</v>
      </c>
      <c r="P190" s="11" t="str">
        <f>VLOOKUP(Sales_Raw!$E190,ProductsMasterTable[#All],2,FALSE)</f>
        <v>Butter 100g</v>
      </c>
      <c r="Q190" s="11" t="str">
        <f>VLOOKUP(Sales_Raw!$E190,ProductsMasterTable[#All],3,FALSE)</f>
        <v>Dairy</v>
      </c>
      <c r="R190" s="11" t="str">
        <f>VLOOKUP(Sales_Raw!$E190,ProductsMasterTable[#All],4,FALSE)</f>
        <v>Cavin's</v>
      </c>
      <c r="S190" s="11">
        <f>VLOOKUP(Sales_Raw!$E190,ProductsMasterTable[#All],5,FALSE)</f>
        <v>342.47</v>
      </c>
      <c r="T190" s="11">
        <f>VLOOKUP(Sales_Raw!$E190,ProductsMasterTable[#All],6,FALSE)</f>
        <v>441.05</v>
      </c>
      <c r="U190" s="11" t="str">
        <f>VLOOKUP(Sales_Raw!$E190,ProductsMasterTable[#All],7,FALSE)</f>
        <v>Salem Wholesale Mart</v>
      </c>
      <c r="V190" s="11" t="str">
        <f>IFERROR(VLOOKUP(Sales_Raw!$D190,CustomersMasterTable[#All],2,FALSE),"Guest")</f>
        <v>Arun Shree</v>
      </c>
      <c r="W190" s="11" t="str">
        <f>IFERROR(VLOOKUP(Sales_Raw!$D190,CustomersMasterTable[#All],3,FALSE),"Guest")</f>
        <v>Female</v>
      </c>
      <c r="X190" s="11">
        <f>IFERROR(VLOOKUP(Sales_Raw!$D190,CustomersMasterTable[#All],4,FALSE),"Guest")</f>
        <v>49</v>
      </c>
      <c r="Y190" s="11" t="str">
        <f>IFERROR(VLOOKUP(Sales_Raw!$D190,CustomersMasterTable[#All],5,FALSE),"Guest")</f>
        <v>Salem</v>
      </c>
      <c r="Z190" s="11" t="str">
        <f>IFERROR(VLOOKUP(Sales_Raw!$D190,CustomersMasterTable[#All],6,FALSE),"Guest")</f>
        <v>Regular</v>
      </c>
      <c r="AA190" s="17">
        <f>IFERROR(VLOOKUP(Sales_Raw!$D190,CustomersMasterTable[#All],7,FALSE),"Guest")</f>
        <v>46029</v>
      </c>
      <c r="AB190" s="23">
        <f>Master_Data[[#This Row],[Qty]]*Master_Data[[#This Row],[Unit_Price]]</f>
        <v>1707.4</v>
      </c>
      <c r="AC190" s="23">
        <f>Master_Data[[#This Row],[Gross_ Sales]]*(1-Master_Data[[#This Row],[Discount Percentage]])</f>
        <v>1451.29</v>
      </c>
      <c r="AD190" s="23">
        <f>Master_Data[[#This Row],[Net_Sales]]-(Master_Data[[#This Row],[Qty]]*Master_Data[[#This Row],[Cost_Price]])</f>
        <v>81.409999999999854</v>
      </c>
    </row>
    <row r="191" spans="1:30" ht="15">
      <c r="A191" s="13" t="s">
        <v>355</v>
      </c>
      <c r="B191" s="28">
        <f>DATEVALUE(Master_Data[[#This Row],[Sale_Date]])</f>
        <v>46269</v>
      </c>
      <c r="C191" s="13" t="s">
        <v>92</v>
      </c>
      <c r="D191" s="13" t="s">
        <v>121</v>
      </c>
      <c r="E191" s="13" t="str">
        <f>UPPER(TRIM(Sales_Raw!$F191))</f>
        <v>P1028</v>
      </c>
      <c r="F191" s="13" t="s">
        <v>124</v>
      </c>
      <c r="G191" s="13">
        <v>1</v>
      </c>
      <c r="H191" s="14">
        <v>50.2</v>
      </c>
      <c r="I191" s="15">
        <v>0</v>
      </c>
      <c r="J191" s="13" t="str">
        <f>UPPER(TRIM(Sales_Raw!$K191))</f>
        <v>CARD</v>
      </c>
      <c r="K191" s="13" t="s">
        <v>34</v>
      </c>
      <c r="L191" s="13" t="str">
        <f>PROPER(TRIM(Sales_Raw!$M191))</f>
        <v>Hasthampatti</v>
      </c>
      <c r="M191" s="13" t="s">
        <v>23</v>
      </c>
      <c r="N191" s="12" t="s">
        <v>35</v>
      </c>
      <c r="O191" s="13" t="s">
        <v>25</v>
      </c>
      <c r="P191" s="16" t="str">
        <f>VLOOKUP(Sales_Raw!$E191,ProductsMasterTable[#All],2,FALSE)</f>
        <v>Floor Cleaner 1L</v>
      </c>
      <c r="Q191" s="16" t="str">
        <f>VLOOKUP(Sales_Raw!$E191,ProductsMasterTable[#All],3,FALSE)</f>
        <v>Household</v>
      </c>
      <c r="R191" s="16" t="str">
        <f>VLOOKUP(Sales_Raw!$E191,ProductsMasterTable[#All],4,FALSE)</f>
        <v>LocalFresh</v>
      </c>
      <c r="S191" s="16">
        <f>VLOOKUP(Sales_Raw!$E191,ProductsMasterTable[#All],5,FALSE)</f>
        <v>43.54</v>
      </c>
      <c r="T191" s="16">
        <f>VLOOKUP(Sales_Raw!$E191,ProductsMasterTable[#All],6,FALSE)</f>
        <v>52.59</v>
      </c>
      <c r="U191" s="16" t="str">
        <f>VLOOKUP(Sales_Raw!$E191,ProductsMasterTable[#All],7,FALSE)</f>
        <v>Sri Ganesh Agencies</v>
      </c>
      <c r="V191" s="16" t="str">
        <f>IFERROR(VLOOKUP(Sales_Raw!$D191,CustomersMasterTable[#All],2,FALSE),"Guest")</f>
        <v>Priya Raj</v>
      </c>
      <c r="W191" s="16" t="str">
        <f>IFERROR(VLOOKUP(Sales_Raw!$D191,CustomersMasterTable[#All],3,FALSE),"Guest")</f>
        <v>Female</v>
      </c>
      <c r="X191" s="16">
        <f>IFERROR(VLOOKUP(Sales_Raw!$D191,CustomersMasterTable[#All],4,FALSE),"Guest")</f>
        <v>28</v>
      </c>
      <c r="Y191" s="16" t="str">
        <f>IFERROR(VLOOKUP(Sales_Raw!$D191,CustomersMasterTable[#All],5,FALSE),"Guest")</f>
        <v>Coimbatore</v>
      </c>
      <c r="Z191" s="16" t="str">
        <f>IFERROR(VLOOKUP(Sales_Raw!$D191,CustomersMasterTable[#All],6,FALSE),"Guest")</f>
        <v>Regular</v>
      </c>
      <c r="AA191" s="18">
        <f>IFERROR(VLOOKUP(Sales_Raw!$D191,CustomersMasterTable[#All],7,FALSE),"Guest")</f>
        <v>45927</v>
      </c>
      <c r="AB191" s="23">
        <f>Master_Data[[#This Row],[Qty]]*Master_Data[[#This Row],[Unit_Price]]</f>
        <v>50.2</v>
      </c>
      <c r="AC191" s="23">
        <f>Master_Data[[#This Row],[Gross_ Sales]]*(1-Master_Data[[#This Row],[Discount Percentage]])</f>
        <v>50.2</v>
      </c>
      <c r="AD191" s="23">
        <f>Master_Data[[#This Row],[Net_Sales]]-(Master_Data[[#This Row],[Qty]]*Master_Data[[#This Row],[Cost_Price]])</f>
        <v>6.6600000000000037</v>
      </c>
    </row>
    <row r="192" spans="1:30" ht="29.25">
      <c r="A192" s="8" t="s">
        <v>356</v>
      </c>
      <c r="B192" s="27">
        <f>DATEVALUE(Master_Data[[#This Row],[Sale_Date]])</f>
        <v>46258</v>
      </c>
      <c r="C192" s="8" t="s">
        <v>71</v>
      </c>
      <c r="D192" s="8" t="s">
        <v>153</v>
      </c>
      <c r="E192" s="8" t="str">
        <f>UPPER(TRIM(Sales_Raw!$F192))</f>
        <v>P1013</v>
      </c>
      <c r="F192" s="8" t="s">
        <v>176</v>
      </c>
      <c r="G192" s="8">
        <v>1</v>
      </c>
      <c r="H192" s="9">
        <v>104.54</v>
      </c>
      <c r="I192" s="10">
        <v>0</v>
      </c>
      <c r="J192" s="8" t="str">
        <f>UPPER(TRIM(Sales_Raw!$K192))</f>
        <v>CASH</v>
      </c>
      <c r="K192" s="8" t="s">
        <v>14</v>
      </c>
      <c r="L192" s="8" t="str">
        <f>PROPER(TRIM(Sales_Raw!$M192))</f>
        <v>Suramangalam</v>
      </c>
      <c r="M192" s="8" t="s">
        <v>40</v>
      </c>
      <c r="N192" s="7" t="s">
        <v>16</v>
      </c>
      <c r="O192" s="8" t="s">
        <v>30</v>
      </c>
      <c r="P192" s="11" t="str">
        <f>VLOOKUP(Sales_Raw!$E192,ProductsMasterTable[#All],2,FALSE)</f>
        <v>Banana Chips</v>
      </c>
      <c r="Q192" s="11" t="str">
        <f>VLOOKUP(Sales_Raw!$E192,ProductsMasterTable[#All],3,FALSE)</f>
        <v>Snacks</v>
      </c>
      <c r="R192" s="11" t="str">
        <f>VLOOKUP(Sales_Raw!$E192,ProductsMasterTable[#All],4,FALSE)</f>
        <v>Tata</v>
      </c>
      <c r="S192" s="11">
        <f>VLOOKUP(Sales_Raw!$E192,ProductsMasterTable[#All],5,FALSE)</f>
        <v>95.3</v>
      </c>
      <c r="T192" s="11">
        <f>VLOOKUP(Sales_Raw!$E192,ProductsMasterTable[#All],6,FALSE)</f>
        <v>108.26</v>
      </c>
      <c r="U192" s="11" t="str">
        <f>VLOOKUP(Sales_Raw!$E192,ProductsMasterTable[#All],7,FALSE)</f>
        <v>Metro Supply Co</v>
      </c>
      <c r="V192" s="11" t="str">
        <f>IFERROR(VLOOKUP(Sales_Raw!$D192,CustomersMasterTable[#All],2,FALSE),"Guest")</f>
        <v>Janani M</v>
      </c>
      <c r="W192" s="11" t="str">
        <f>IFERROR(VLOOKUP(Sales_Raw!$D192,CustomersMasterTable[#All],3,FALSE),"Guest")</f>
        <v>Male</v>
      </c>
      <c r="X192" s="11">
        <f>IFERROR(VLOOKUP(Sales_Raw!$D192,CustomersMasterTable[#All],4,FALSE),"Guest")</f>
        <v>41</v>
      </c>
      <c r="Y192" s="11" t="str">
        <f>IFERROR(VLOOKUP(Sales_Raw!$D192,CustomersMasterTable[#All],5,FALSE),"Guest")</f>
        <v>Erode</v>
      </c>
      <c r="Z192" s="11" t="str">
        <f>IFERROR(VLOOKUP(Sales_Raw!$D192,CustomersMasterTable[#All],6,FALSE),"Guest")</f>
        <v>Regular</v>
      </c>
      <c r="AA192" s="17">
        <f>IFERROR(VLOOKUP(Sales_Raw!$D192,CustomersMasterTable[#All],7,FALSE),"Guest")</f>
        <v>46201</v>
      </c>
      <c r="AB192" s="23">
        <f>Master_Data[[#This Row],[Qty]]*Master_Data[[#This Row],[Unit_Price]]</f>
        <v>104.54</v>
      </c>
      <c r="AC192" s="23">
        <f>Master_Data[[#This Row],[Gross_ Sales]]*(1-Master_Data[[#This Row],[Discount Percentage]])</f>
        <v>104.54</v>
      </c>
      <c r="AD192" s="23">
        <f>Master_Data[[#This Row],[Net_Sales]]-(Master_Data[[#This Row],[Qty]]*Master_Data[[#This Row],[Cost_Price]])</f>
        <v>9.2400000000000091</v>
      </c>
    </row>
    <row r="193" spans="1:30" ht="29.25">
      <c r="A193" s="13" t="s">
        <v>357</v>
      </c>
      <c r="B193" s="28">
        <f>DATEVALUE(Master_Data[[#This Row],[Sale_Date]])</f>
        <v>46239</v>
      </c>
      <c r="C193" s="13" t="s">
        <v>61</v>
      </c>
      <c r="D193" s="13" t="s">
        <v>33</v>
      </c>
      <c r="E193" s="13" t="str">
        <f>UPPER(TRIM(Sales_Raw!$F193))</f>
        <v>P1017</v>
      </c>
      <c r="F193" s="13" t="s">
        <v>132</v>
      </c>
      <c r="G193" s="13">
        <v>4</v>
      </c>
      <c r="H193" s="14">
        <v>299.02</v>
      </c>
      <c r="I193" s="15">
        <v>0</v>
      </c>
      <c r="J193" s="13" t="str">
        <f>UPPER(TRIM(Sales_Raw!$K193))</f>
        <v>CARD</v>
      </c>
      <c r="K193" s="13" t="s">
        <v>34</v>
      </c>
      <c r="L193" s="13" t="str">
        <f>PROPER(TRIM(Sales_Raw!$M193))</f>
        <v>Suramangalam</v>
      </c>
      <c r="M193" s="13" t="s">
        <v>40</v>
      </c>
      <c r="N193" s="12" t="s">
        <v>41</v>
      </c>
      <c r="O193" s="13" t="s">
        <v>65</v>
      </c>
      <c r="P193" s="16" t="str">
        <f>VLOOKUP(Sales_Raw!$E193,ProductsMasterTable[#All],2,FALSE)</f>
        <v>Mineral Water 1L</v>
      </c>
      <c r="Q193" s="16" t="str">
        <f>VLOOKUP(Sales_Raw!$E193,ProductsMasterTable[#All],3,FALSE)</f>
        <v>Beverages</v>
      </c>
      <c r="R193" s="16" t="str">
        <f>VLOOKUP(Sales_Raw!$E193,ProductsMasterTable[#All],4,FALSE)</f>
        <v>Tata</v>
      </c>
      <c r="S193" s="16">
        <f>VLOOKUP(Sales_Raw!$E193,ProductsMasterTable[#All],5,FALSE)</f>
        <v>262.87</v>
      </c>
      <c r="T193" s="16">
        <f>VLOOKUP(Sales_Raw!$E193,ProductsMasterTable[#All],6,FALSE)</f>
        <v>304.76</v>
      </c>
      <c r="U193" s="16" t="str">
        <f>VLOOKUP(Sales_Raw!$E193,ProductsMasterTable[#All],7,FALSE)</f>
        <v>Kongu Distributors</v>
      </c>
      <c r="V193" s="16" t="str">
        <f>IFERROR(VLOOKUP(Sales_Raw!$D193,CustomersMasterTable[#All],2,FALSE),"Guest")</f>
        <v>Surya Priyan</v>
      </c>
      <c r="W193" s="16" t="str">
        <f>IFERROR(VLOOKUP(Sales_Raw!$D193,CustomersMasterTable[#All],3,FALSE),"Guest")</f>
        <v>Female</v>
      </c>
      <c r="X193" s="16">
        <f>IFERROR(VLOOKUP(Sales_Raw!$D193,CustomersMasterTable[#All],4,FALSE),"Guest")</f>
        <v>34</v>
      </c>
      <c r="Y193" s="16" t="str">
        <f>IFERROR(VLOOKUP(Sales_Raw!$D193,CustomersMasterTable[#All],5,FALSE),"Guest")</f>
        <v>Erode</v>
      </c>
      <c r="Z193" s="16" t="str">
        <f>IFERROR(VLOOKUP(Sales_Raw!$D193,CustomersMasterTable[#All],6,FALSE),"Guest")</f>
        <v>Silver</v>
      </c>
      <c r="AA193" s="18">
        <f>IFERROR(VLOOKUP(Sales_Raw!$D193,CustomersMasterTable[#All],7,FALSE),"Guest")</f>
        <v>45979</v>
      </c>
      <c r="AB193" s="23">
        <f>Master_Data[[#This Row],[Qty]]*Master_Data[[#This Row],[Unit_Price]]</f>
        <v>1196.08</v>
      </c>
      <c r="AC193" s="23">
        <f>Master_Data[[#This Row],[Gross_ Sales]]*(1-Master_Data[[#This Row],[Discount Percentage]])</f>
        <v>1196.08</v>
      </c>
      <c r="AD193" s="23">
        <f>Master_Data[[#This Row],[Net_Sales]]-(Master_Data[[#This Row],[Qty]]*Master_Data[[#This Row],[Cost_Price]])</f>
        <v>144.59999999999991</v>
      </c>
    </row>
    <row r="194" spans="1:30" ht="15">
      <c r="A194" s="8" t="s">
        <v>358</v>
      </c>
      <c r="B194" s="27">
        <f>DATEVALUE(Master_Data[[#This Row],[Sale_Date]])</f>
        <v>46242</v>
      </c>
      <c r="C194" s="8" t="s">
        <v>82</v>
      </c>
      <c r="D194" s="8" t="s">
        <v>227</v>
      </c>
      <c r="E194" s="8" t="str">
        <f>UPPER(TRIM(Sales_Raw!$F194))</f>
        <v>P1004</v>
      </c>
      <c r="F194" s="8" t="s">
        <v>159</v>
      </c>
      <c r="G194" s="8">
        <v>4</v>
      </c>
      <c r="H194" s="9">
        <v>133.32</v>
      </c>
      <c r="I194" s="10">
        <v>0</v>
      </c>
      <c r="J194" s="8" t="str">
        <f>UPPER(TRIM(Sales_Raw!$K194))</f>
        <v>CARD</v>
      </c>
      <c r="K194" s="8" t="s">
        <v>34</v>
      </c>
      <c r="L194" s="8" t="str">
        <f>PROPER(TRIM(Sales_Raw!$M194))</f>
        <v>Hasthampatti</v>
      </c>
      <c r="M194" s="8" t="s">
        <v>23</v>
      </c>
      <c r="N194" s="7" t="s">
        <v>24</v>
      </c>
      <c r="O194" s="8" t="s">
        <v>54</v>
      </c>
      <c r="P194" s="11" t="str">
        <f>VLOOKUP(Sales_Raw!$E194,ProductsMasterTable[#All],2,FALSE)</f>
        <v>Urad Dal 1kg</v>
      </c>
      <c r="Q194" s="11" t="str">
        <f>VLOOKUP(Sales_Raw!$E194,ProductsMasterTable[#All],3,FALSE)</f>
        <v>Staples</v>
      </c>
      <c r="R194" s="11" t="str">
        <f>VLOOKUP(Sales_Raw!$E194,ProductsMasterTable[#All],4,FALSE)</f>
        <v>Cavin's</v>
      </c>
      <c r="S194" s="11">
        <f>VLOOKUP(Sales_Raw!$E194,ProductsMasterTable[#All],5,FALSE)</f>
        <v>111.53</v>
      </c>
      <c r="T194" s="11">
        <f>VLOOKUP(Sales_Raw!$E194,ProductsMasterTable[#All],6,FALSE)</f>
        <v>140.36000000000001</v>
      </c>
      <c r="U194" s="11" t="str">
        <f>VLOOKUP(Sales_Raw!$E194,ProductsMasterTable[#All],7,FALSE)</f>
        <v>Kongu Distributors</v>
      </c>
      <c r="V194" s="11" t="str">
        <f>IFERROR(VLOOKUP(Sales_Raw!$D194,CustomersMasterTable[#All],2,FALSE),"Guest")</f>
        <v>Keerthi R</v>
      </c>
      <c r="W194" s="11" t="str">
        <f>IFERROR(VLOOKUP(Sales_Raw!$D194,CustomersMasterTable[#All],3,FALSE),"Guest")</f>
        <v>Female</v>
      </c>
      <c r="X194" s="11">
        <f>IFERROR(VLOOKUP(Sales_Raw!$D194,CustomersMasterTable[#All],4,FALSE),"Guest")</f>
        <v>19</v>
      </c>
      <c r="Y194" s="11" t="str">
        <f>IFERROR(VLOOKUP(Sales_Raw!$D194,CustomersMasterTable[#All],5,FALSE),"Guest")</f>
        <v>Dharmapuri</v>
      </c>
      <c r="Z194" s="11" t="str">
        <f>IFERROR(VLOOKUP(Sales_Raw!$D194,CustomersMasterTable[#All],6,FALSE),"Guest")</f>
        <v>Silver</v>
      </c>
      <c r="AA194" s="17">
        <f>IFERROR(VLOOKUP(Sales_Raw!$D194,CustomersMasterTable[#All],7,FALSE),"Guest")</f>
        <v>45883</v>
      </c>
      <c r="AB194" s="23">
        <f>Master_Data[[#This Row],[Qty]]*Master_Data[[#This Row],[Unit_Price]]</f>
        <v>533.28</v>
      </c>
      <c r="AC194" s="23">
        <f>Master_Data[[#This Row],[Gross_ Sales]]*(1-Master_Data[[#This Row],[Discount Percentage]])</f>
        <v>533.28</v>
      </c>
      <c r="AD194" s="23">
        <f>Master_Data[[#This Row],[Net_Sales]]-(Master_Data[[#This Row],[Qty]]*Master_Data[[#This Row],[Cost_Price]])</f>
        <v>87.159999999999968</v>
      </c>
    </row>
    <row r="195" spans="1:30" ht="15">
      <c r="A195" s="13" t="s">
        <v>359</v>
      </c>
      <c r="B195" s="28">
        <f>DATEVALUE(Master_Data[[#This Row],[Sale_Date]])</f>
        <v>46247</v>
      </c>
      <c r="C195" s="13" t="s">
        <v>104</v>
      </c>
      <c r="D195" s="13" t="s">
        <v>293</v>
      </c>
      <c r="E195" s="13" t="str">
        <f>UPPER(TRIM(Sales_Raw!$F195))</f>
        <v>P1017</v>
      </c>
      <c r="F195" s="13" t="s">
        <v>132</v>
      </c>
      <c r="G195" s="13">
        <v>4</v>
      </c>
      <c r="H195" s="14">
        <v>292.57</v>
      </c>
      <c r="I195" s="15">
        <v>0</v>
      </c>
      <c r="J195" s="13" t="str">
        <f>UPPER(TRIM(Sales_Raw!$K195))</f>
        <v>UPI</v>
      </c>
      <c r="K195" s="13" t="s">
        <v>22</v>
      </c>
      <c r="L195" s="13" t="str">
        <f>PROPER(TRIM(Sales_Raw!$M195))</f>
        <v>Fairlands</v>
      </c>
      <c r="M195" s="13" t="s">
        <v>15</v>
      </c>
      <c r="N195" s="12" t="s">
        <v>16</v>
      </c>
      <c r="O195" s="13" t="s">
        <v>65</v>
      </c>
      <c r="P195" s="16" t="str">
        <f>VLOOKUP(Sales_Raw!$E195,ProductsMasterTable[#All],2,FALSE)</f>
        <v>Mineral Water 1L</v>
      </c>
      <c r="Q195" s="16" t="str">
        <f>VLOOKUP(Sales_Raw!$E195,ProductsMasterTable[#All],3,FALSE)</f>
        <v>Beverages</v>
      </c>
      <c r="R195" s="16" t="str">
        <f>VLOOKUP(Sales_Raw!$E195,ProductsMasterTable[#All],4,FALSE)</f>
        <v>Tata</v>
      </c>
      <c r="S195" s="16">
        <f>VLOOKUP(Sales_Raw!$E195,ProductsMasterTable[#All],5,FALSE)</f>
        <v>262.87</v>
      </c>
      <c r="T195" s="16">
        <f>VLOOKUP(Sales_Raw!$E195,ProductsMasterTable[#All],6,FALSE)</f>
        <v>304.76</v>
      </c>
      <c r="U195" s="16" t="str">
        <f>VLOOKUP(Sales_Raw!$E195,ProductsMasterTable[#All],7,FALSE)</f>
        <v>Kongu Distributors</v>
      </c>
      <c r="V195" s="16" t="str">
        <f>IFERROR(VLOOKUP(Sales_Raw!$D195,CustomersMasterTable[#All],2,FALSE),"Guest")</f>
        <v>Janani S</v>
      </c>
      <c r="W195" s="16" t="str">
        <f>IFERROR(VLOOKUP(Sales_Raw!$D195,CustomersMasterTable[#All],3,FALSE),"Guest")</f>
        <v>Male</v>
      </c>
      <c r="X195" s="16">
        <f>IFERROR(VLOOKUP(Sales_Raw!$D195,CustomersMasterTable[#All],4,FALSE),"Guest")</f>
        <v>28</v>
      </c>
      <c r="Y195" s="16" t="str">
        <f>IFERROR(VLOOKUP(Sales_Raw!$D195,CustomersMasterTable[#All],5,FALSE),"Guest")</f>
        <v>Erode</v>
      </c>
      <c r="Z195" s="16" t="str">
        <f>IFERROR(VLOOKUP(Sales_Raw!$D195,CustomersMasterTable[#All],6,FALSE),"Guest")</f>
        <v>Gold</v>
      </c>
      <c r="AA195" s="18">
        <f>IFERROR(VLOOKUP(Sales_Raw!$D195,CustomersMasterTable[#All],7,FALSE),"Guest")</f>
        <v>45683</v>
      </c>
      <c r="AB195" s="23">
        <f>Master_Data[[#This Row],[Qty]]*Master_Data[[#This Row],[Unit_Price]]</f>
        <v>1170.28</v>
      </c>
      <c r="AC195" s="23">
        <f>Master_Data[[#This Row],[Gross_ Sales]]*(1-Master_Data[[#This Row],[Discount Percentage]])</f>
        <v>1170.28</v>
      </c>
      <c r="AD195" s="23">
        <f>Master_Data[[#This Row],[Net_Sales]]-(Master_Data[[#This Row],[Qty]]*Master_Data[[#This Row],[Cost_Price]])</f>
        <v>118.79999999999995</v>
      </c>
    </row>
    <row r="196" spans="1:30" ht="15">
      <c r="A196" s="8" t="s">
        <v>360</v>
      </c>
      <c r="B196" s="27">
        <f>DATEVALUE(Master_Data[[#This Row],[Sale_Date]])</f>
        <v>46265</v>
      </c>
      <c r="C196" s="8" t="s">
        <v>126</v>
      </c>
      <c r="D196" s="8" t="s">
        <v>272</v>
      </c>
      <c r="E196" s="8" t="str">
        <f>UPPER(TRIM(Sales_Raw!$F196))</f>
        <v>P1015</v>
      </c>
      <c r="F196" s="8" t="s">
        <v>48</v>
      </c>
      <c r="G196" s="8">
        <v>2</v>
      </c>
      <c r="H196" s="9">
        <v>159.12</v>
      </c>
      <c r="I196" s="10">
        <v>0.1</v>
      </c>
      <c r="J196" s="8" t="str">
        <f>UPPER(TRIM(Sales_Raw!$K196))</f>
        <v>UPI</v>
      </c>
      <c r="K196" s="8" t="s">
        <v>22</v>
      </c>
      <c r="L196" s="8" t="str">
        <f>PROPER(TRIM(Sales_Raw!$M196))</f>
        <v>Hasthampatti</v>
      </c>
      <c r="M196" s="8" t="s">
        <v>23</v>
      </c>
      <c r="N196" s="7" t="s">
        <v>41</v>
      </c>
      <c r="O196" s="8" t="s">
        <v>30</v>
      </c>
      <c r="P196" s="11" t="str">
        <f>VLOOKUP(Sales_Raw!$E196,ProductsMasterTable[#All],2,FALSE)</f>
        <v>Biscuits Pack</v>
      </c>
      <c r="Q196" s="11" t="str">
        <f>VLOOKUP(Sales_Raw!$E196,ProductsMasterTable[#All],3,FALSE)</f>
        <v>Snacks</v>
      </c>
      <c r="R196" s="11" t="str">
        <f>VLOOKUP(Sales_Raw!$E196,ProductsMasterTable[#All],4,FALSE)</f>
        <v>HUL</v>
      </c>
      <c r="S196" s="11">
        <f>VLOOKUP(Sales_Raw!$E196,ProductsMasterTable[#All],5,FALSE)</f>
        <v>129.75</v>
      </c>
      <c r="T196" s="11">
        <f>VLOOKUP(Sales_Raw!$E196,ProductsMasterTable[#All],6,FALSE)</f>
        <v>164.29</v>
      </c>
      <c r="U196" s="11" t="str">
        <f>VLOOKUP(Sales_Raw!$E196,ProductsMasterTable[#All],7,FALSE)</f>
        <v>Kongu Distributors</v>
      </c>
      <c r="V196" s="11" t="str">
        <f>IFERROR(VLOOKUP(Sales_Raw!$D196,CustomersMasterTable[#All],2,FALSE),"Guest")</f>
        <v>Kavin Kumar</v>
      </c>
      <c r="W196" s="11" t="str">
        <f>IFERROR(VLOOKUP(Sales_Raw!$D196,CustomersMasterTable[#All],3,FALSE),"Guest")</f>
        <v>Female</v>
      </c>
      <c r="X196" s="11">
        <f>IFERROR(VLOOKUP(Sales_Raw!$D196,CustomersMasterTable[#All],4,FALSE),"Guest")</f>
        <v>67</v>
      </c>
      <c r="Y196" s="11" t="str">
        <f>IFERROR(VLOOKUP(Sales_Raw!$D196,CustomersMasterTable[#All],5,FALSE),"Guest")</f>
        <v>Erode</v>
      </c>
      <c r="Z196" s="11" t="str">
        <f>IFERROR(VLOOKUP(Sales_Raw!$D196,CustomersMasterTable[#All],6,FALSE),"Guest")</f>
        <v>Silver</v>
      </c>
      <c r="AA196" s="17">
        <f>IFERROR(VLOOKUP(Sales_Raw!$D196,CustomersMasterTable[#All],7,FALSE),"Guest")</f>
        <v>45926</v>
      </c>
      <c r="AB196" s="23">
        <f>Master_Data[[#This Row],[Qty]]*Master_Data[[#This Row],[Unit_Price]]</f>
        <v>318.24</v>
      </c>
      <c r="AC196" s="23">
        <f>Master_Data[[#This Row],[Gross_ Sales]]*(1-Master_Data[[#This Row],[Discount Percentage]])</f>
        <v>286.416</v>
      </c>
      <c r="AD196" s="23">
        <f>Master_Data[[#This Row],[Net_Sales]]-(Master_Data[[#This Row],[Qty]]*Master_Data[[#This Row],[Cost_Price]])</f>
        <v>26.915999999999997</v>
      </c>
    </row>
    <row r="197" spans="1:30" ht="15">
      <c r="A197" s="13" t="s">
        <v>361</v>
      </c>
      <c r="B197" s="28">
        <f>DATEVALUE(Master_Data[[#This Row],[Sale_Date]])</f>
        <v>46255</v>
      </c>
      <c r="C197" s="13" t="s">
        <v>158</v>
      </c>
      <c r="D197" s="13" t="s">
        <v>72</v>
      </c>
      <c r="E197" s="13" t="str">
        <f>UPPER(TRIM(Sales_Raw!$F197))</f>
        <v>P1013</v>
      </c>
      <c r="F197" s="13" t="s">
        <v>362</v>
      </c>
      <c r="G197" s="13">
        <v>5</v>
      </c>
      <c r="H197" s="14">
        <v>106</v>
      </c>
      <c r="I197" s="15">
        <v>0</v>
      </c>
      <c r="J197" s="13" t="str">
        <f>UPPER(TRIM(Sales_Raw!$K197))</f>
        <v>CARD</v>
      </c>
      <c r="K197" s="13" t="s">
        <v>34</v>
      </c>
      <c r="L197" s="13" t="str">
        <f>PROPER(TRIM(Sales_Raw!$M197))</f>
        <v>Hasthampatti</v>
      </c>
      <c r="M197" s="13" t="s">
        <v>23</v>
      </c>
      <c r="N197" s="12" t="s">
        <v>41</v>
      </c>
      <c r="O197" s="13" t="s">
        <v>30</v>
      </c>
      <c r="P197" s="16" t="str">
        <f>VLOOKUP(Sales_Raw!$E197,ProductsMasterTable[#All],2,FALSE)</f>
        <v>Banana Chips</v>
      </c>
      <c r="Q197" s="16" t="str">
        <f>VLOOKUP(Sales_Raw!$E197,ProductsMasterTable[#All],3,FALSE)</f>
        <v>Snacks</v>
      </c>
      <c r="R197" s="16" t="str">
        <f>VLOOKUP(Sales_Raw!$E197,ProductsMasterTable[#All],4,FALSE)</f>
        <v>Tata</v>
      </c>
      <c r="S197" s="16">
        <f>VLOOKUP(Sales_Raw!$E197,ProductsMasterTable[#All],5,FALSE)</f>
        <v>95.3</v>
      </c>
      <c r="T197" s="16">
        <f>VLOOKUP(Sales_Raw!$E197,ProductsMasterTable[#All],6,FALSE)</f>
        <v>108.26</v>
      </c>
      <c r="U197" s="16" t="str">
        <f>VLOOKUP(Sales_Raw!$E197,ProductsMasterTable[#All],7,FALSE)</f>
        <v>Metro Supply Co</v>
      </c>
      <c r="V197" s="16" t="str">
        <f>IFERROR(VLOOKUP(Sales_Raw!$D197,CustomersMasterTable[#All],2,FALSE),"Guest")</f>
        <v>Meena Priyan</v>
      </c>
      <c r="W197" s="16" t="str">
        <f>IFERROR(VLOOKUP(Sales_Raw!$D197,CustomersMasterTable[#All],3,FALSE),"Guest")</f>
        <v>Male</v>
      </c>
      <c r="X197" s="16">
        <f>IFERROR(VLOOKUP(Sales_Raw!$D197,CustomersMasterTable[#All],4,FALSE),"Guest")</f>
        <v>35</v>
      </c>
      <c r="Y197" s="16" t="str">
        <f>IFERROR(VLOOKUP(Sales_Raw!$D197,CustomersMasterTable[#All],5,FALSE),"Guest")</f>
        <v>Karur</v>
      </c>
      <c r="Z197" s="16" t="str">
        <f>IFERROR(VLOOKUP(Sales_Raw!$D197,CustomersMasterTable[#All],6,FALSE),"Guest")</f>
        <v>Regular</v>
      </c>
      <c r="AA197" s="18">
        <f>IFERROR(VLOOKUP(Sales_Raw!$D197,CustomersMasterTable[#All],7,FALSE),"Guest")</f>
        <v>46210</v>
      </c>
      <c r="AB197" s="23">
        <f>Master_Data[[#This Row],[Qty]]*Master_Data[[#This Row],[Unit_Price]]</f>
        <v>530</v>
      </c>
      <c r="AC197" s="23">
        <f>Master_Data[[#This Row],[Gross_ Sales]]*(1-Master_Data[[#This Row],[Discount Percentage]])</f>
        <v>530</v>
      </c>
      <c r="AD197" s="23">
        <f>Master_Data[[#This Row],[Net_Sales]]-(Master_Data[[#This Row],[Qty]]*Master_Data[[#This Row],[Cost_Price]])</f>
        <v>53.5</v>
      </c>
    </row>
  </sheetData>
  <conditionalFormatting sqref="I2:J197">
    <cfRule type="cellIs" dxfId="0" priority="1" operator="greaterThan">
      <formula>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election activeCell="C1" sqref="C1:G1"/>
    </sheetView>
  </sheetViews>
  <sheetFormatPr defaultRowHeight="14.25"/>
  <cols>
    <col min="1" max="1" width="12" customWidth="1"/>
    <col min="2" max="2" width="22" customWidth="1"/>
    <col min="3" max="3" width="18" customWidth="1"/>
    <col min="4" max="4" width="15" customWidth="1"/>
    <col min="5" max="6" width="12" customWidth="1"/>
    <col min="7" max="7" width="24" customWidth="1"/>
  </cols>
  <sheetData>
    <row r="1" spans="1:7" ht="15">
      <c r="A1" s="1" t="s">
        <v>3</v>
      </c>
      <c r="B1" s="1" t="s">
        <v>363</v>
      </c>
      <c r="C1" s="1" t="s">
        <v>364</v>
      </c>
      <c r="D1" s="1" t="s">
        <v>365</v>
      </c>
      <c r="E1" s="1" t="s">
        <v>366</v>
      </c>
      <c r="F1" s="1" t="s">
        <v>367</v>
      </c>
      <c r="G1" s="1" t="s">
        <v>368</v>
      </c>
    </row>
    <row r="2" spans="1:7">
      <c r="A2" s="2" t="s">
        <v>52</v>
      </c>
      <c r="B2" s="2" t="s">
        <v>369</v>
      </c>
      <c r="C2" s="2" t="s">
        <v>54</v>
      </c>
      <c r="D2" s="2" t="s">
        <v>370</v>
      </c>
      <c r="E2" s="4">
        <v>275.05</v>
      </c>
      <c r="F2" s="4">
        <v>309.64</v>
      </c>
      <c r="G2" s="2" t="s">
        <v>371</v>
      </c>
    </row>
    <row r="3" spans="1:7">
      <c r="A3" s="2" t="s">
        <v>232</v>
      </c>
      <c r="B3" s="2" t="s">
        <v>372</v>
      </c>
      <c r="C3" s="2" t="s">
        <v>54</v>
      </c>
      <c r="D3" s="2" t="s">
        <v>373</v>
      </c>
      <c r="E3" s="4">
        <v>107.73</v>
      </c>
      <c r="F3" s="4">
        <v>138.91</v>
      </c>
      <c r="G3" s="2" t="s">
        <v>374</v>
      </c>
    </row>
    <row r="4" spans="1:7">
      <c r="A4" s="2" t="s">
        <v>59</v>
      </c>
      <c r="B4" s="2" t="s">
        <v>375</v>
      </c>
      <c r="C4" s="2" t="s">
        <v>54</v>
      </c>
      <c r="D4" s="2" t="s">
        <v>376</v>
      </c>
      <c r="E4" s="4">
        <v>255.38</v>
      </c>
      <c r="F4" s="4">
        <v>287.89</v>
      </c>
      <c r="G4" s="2" t="s">
        <v>371</v>
      </c>
    </row>
    <row r="5" spans="1:7">
      <c r="A5" s="2" t="s">
        <v>159</v>
      </c>
      <c r="B5" s="2" t="s">
        <v>377</v>
      </c>
      <c r="C5" s="2" t="s">
        <v>54</v>
      </c>
      <c r="D5" s="2" t="s">
        <v>373</v>
      </c>
      <c r="E5" s="4">
        <v>111.53</v>
      </c>
      <c r="F5" s="4">
        <v>140.36000000000001</v>
      </c>
      <c r="G5" s="2" t="s">
        <v>371</v>
      </c>
    </row>
    <row r="6" spans="1:7">
      <c r="A6" s="2" t="s">
        <v>69</v>
      </c>
      <c r="B6" s="2" t="s">
        <v>378</v>
      </c>
      <c r="C6" s="2" t="s">
        <v>54</v>
      </c>
      <c r="D6" s="2" t="s">
        <v>379</v>
      </c>
      <c r="E6" s="4">
        <v>305.83999999999997</v>
      </c>
      <c r="F6" s="4">
        <v>391.87</v>
      </c>
      <c r="G6" s="2" t="s">
        <v>371</v>
      </c>
    </row>
    <row r="7" spans="1:7">
      <c r="A7" s="2" t="s">
        <v>284</v>
      </c>
      <c r="B7" s="2" t="s">
        <v>380</v>
      </c>
      <c r="C7" s="2" t="s">
        <v>54</v>
      </c>
      <c r="D7" s="2" t="s">
        <v>381</v>
      </c>
      <c r="E7" s="4">
        <v>198.58</v>
      </c>
      <c r="F7" s="4">
        <v>235.12</v>
      </c>
      <c r="G7" s="2" t="s">
        <v>371</v>
      </c>
    </row>
    <row r="8" spans="1:7">
      <c r="A8" s="2" t="s">
        <v>318</v>
      </c>
      <c r="B8" s="2" t="s">
        <v>382</v>
      </c>
      <c r="C8" s="2" t="s">
        <v>17</v>
      </c>
      <c r="D8" s="2" t="s">
        <v>383</v>
      </c>
      <c r="E8" s="4">
        <v>298.64999999999998</v>
      </c>
      <c r="F8" s="4">
        <v>357.86</v>
      </c>
      <c r="G8" s="2" t="s">
        <v>371</v>
      </c>
    </row>
    <row r="9" spans="1:7">
      <c r="A9" s="2" t="s">
        <v>13</v>
      </c>
      <c r="B9" s="2" t="s">
        <v>384</v>
      </c>
      <c r="C9" s="2" t="s">
        <v>17</v>
      </c>
      <c r="D9" s="2" t="s">
        <v>376</v>
      </c>
      <c r="E9" s="4">
        <v>402.8</v>
      </c>
      <c r="F9" s="4">
        <v>482.32</v>
      </c>
      <c r="G9" s="2" t="s">
        <v>385</v>
      </c>
    </row>
    <row r="10" spans="1:7">
      <c r="A10" s="2" t="s">
        <v>101</v>
      </c>
      <c r="B10" s="2" t="s">
        <v>386</v>
      </c>
      <c r="C10" s="2" t="s">
        <v>17</v>
      </c>
      <c r="D10" s="2" t="s">
        <v>387</v>
      </c>
      <c r="E10" s="4">
        <v>56.88</v>
      </c>
      <c r="F10" s="4">
        <v>74.790000000000006</v>
      </c>
      <c r="G10" s="2" t="s">
        <v>388</v>
      </c>
    </row>
    <row r="11" spans="1:7">
      <c r="A11" s="2" t="s">
        <v>39</v>
      </c>
      <c r="B11" s="2" t="s">
        <v>389</v>
      </c>
      <c r="C11" s="2" t="s">
        <v>17</v>
      </c>
      <c r="D11" s="2" t="s">
        <v>373</v>
      </c>
      <c r="E11" s="4">
        <v>342.47</v>
      </c>
      <c r="F11" s="4">
        <v>441.05</v>
      </c>
      <c r="G11" s="2" t="s">
        <v>374</v>
      </c>
    </row>
    <row r="12" spans="1:7">
      <c r="A12" s="2" t="s">
        <v>57</v>
      </c>
      <c r="B12" s="2" t="s">
        <v>390</v>
      </c>
      <c r="C12" s="2" t="s">
        <v>17</v>
      </c>
      <c r="D12" s="2" t="s">
        <v>373</v>
      </c>
      <c r="E12" s="4">
        <v>409.19</v>
      </c>
      <c r="F12" s="4">
        <v>493.92</v>
      </c>
      <c r="G12" s="2" t="s">
        <v>388</v>
      </c>
    </row>
    <row r="13" spans="1:7">
      <c r="A13" s="2" t="s">
        <v>260</v>
      </c>
      <c r="B13" s="2" t="s">
        <v>391</v>
      </c>
      <c r="C13" s="2" t="s">
        <v>30</v>
      </c>
      <c r="D13" s="2" t="s">
        <v>392</v>
      </c>
      <c r="E13" s="4">
        <v>351.42</v>
      </c>
      <c r="F13" s="4">
        <v>443.58</v>
      </c>
      <c r="G13" s="2" t="s">
        <v>393</v>
      </c>
    </row>
    <row r="14" spans="1:7">
      <c r="A14" s="2" t="s">
        <v>176</v>
      </c>
      <c r="B14" s="2" t="s">
        <v>394</v>
      </c>
      <c r="C14" s="2" t="s">
        <v>30</v>
      </c>
      <c r="D14" s="2" t="s">
        <v>395</v>
      </c>
      <c r="E14" s="4">
        <v>95.3</v>
      </c>
      <c r="F14" s="4">
        <v>108.26</v>
      </c>
      <c r="G14" s="2" t="s">
        <v>388</v>
      </c>
    </row>
    <row r="15" spans="1:7">
      <c r="A15" s="2" t="s">
        <v>29</v>
      </c>
      <c r="B15" s="2" t="s">
        <v>396</v>
      </c>
      <c r="C15" s="2" t="s">
        <v>30</v>
      </c>
      <c r="D15" s="2" t="s">
        <v>376</v>
      </c>
      <c r="E15" s="4">
        <v>414.06</v>
      </c>
      <c r="F15" s="4">
        <v>545.20000000000005</v>
      </c>
      <c r="G15" s="2" t="s">
        <v>385</v>
      </c>
    </row>
    <row r="16" spans="1:7">
      <c r="A16" s="2" t="s">
        <v>48</v>
      </c>
      <c r="B16" s="2" t="s">
        <v>397</v>
      </c>
      <c r="C16" s="2" t="s">
        <v>30</v>
      </c>
      <c r="D16" s="2" t="s">
        <v>392</v>
      </c>
      <c r="E16" s="4">
        <v>129.75</v>
      </c>
      <c r="F16" s="4">
        <v>164.29</v>
      </c>
      <c r="G16" s="2" t="s">
        <v>371</v>
      </c>
    </row>
    <row r="17" spans="1:7">
      <c r="A17" s="2" t="s">
        <v>93</v>
      </c>
      <c r="B17" s="2" t="s">
        <v>398</v>
      </c>
      <c r="C17" s="2" t="s">
        <v>30</v>
      </c>
      <c r="D17" s="2" t="s">
        <v>370</v>
      </c>
      <c r="E17" s="4">
        <v>166.81</v>
      </c>
      <c r="F17" s="4">
        <v>194.87</v>
      </c>
      <c r="G17" s="2" t="s">
        <v>374</v>
      </c>
    </row>
    <row r="18" spans="1:7">
      <c r="A18" s="2" t="s">
        <v>132</v>
      </c>
      <c r="B18" s="2" t="s">
        <v>399</v>
      </c>
      <c r="C18" s="2" t="s">
        <v>65</v>
      </c>
      <c r="D18" s="2" t="s">
        <v>395</v>
      </c>
      <c r="E18" s="4">
        <v>262.87</v>
      </c>
      <c r="F18" s="4">
        <v>304.76</v>
      </c>
      <c r="G18" s="2" t="s">
        <v>371</v>
      </c>
    </row>
    <row r="19" spans="1:7">
      <c r="A19" s="2" t="s">
        <v>111</v>
      </c>
      <c r="B19" s="2" t="s">
        <v>400</v>
      </c>
      <c r="C19" s="2" t="s">
        <v>65</v>
      </c>
      <c r="D19" s="2" t="s">
        <v>373</v>
      </c>
      <c r="E19" s="4">
        <v>203.83</v>
      </c>
      <c r="F19" s="4">
        <v>240.94</v>
      </c>
      <c r="G19" s="2" t="s">
        <v>371</v>
      </c>
    </row>
    <row r="20" spans="1:7">
      <c r="A20" s="2" t="s">
        <v>84</v>
      </c>
      <c r="B20" s="2" t="s">
        <v>401</v>
      </c>
      <c r="C20" s="2" t="s">
        <v>65</v>
      </c>
      <c r="D20" s="2" t="s">
        <v>381</v>
      </c>
      <c r="E20" s="4">
        <v>293.20999999999998</v>
      </c>
      <c r="F20" s="4">
        <v>385.24</v>
      </c>
      <c r="G20" s="2" t="s">
        <v>371</v>
      </c>
    </row>
    <row r="21" spans="1:7">
      <c r="A21" s="2" t="s">
        <v>73</v>
      </c>
      <c r="B21" s="2" t="s">
        <v>402</v>
      </c>
      <c r="C21" s="2" t="s">
        <v>65</v>
      </c>
      <c r="D21" s="2" t="s">
        <v>379</v>
      </c>
      <c r="E21" s="4">
        <v>348.36</v>
      </c>
      <c r="F21" s="4">
        <v>454.67</v>
      </c>
      <c r="G21" s="2" t="s">
        <v>388</v>
      </c>
    </row>
    <row r="22" spans="1:7">
      <c r="A22" s="2" t="s">
        <v>63</v>
      </c>
      <c r="B22" s="2" t="s">
        <v>403</v>
      </c>
      <c r="C22" s="2" t="s">
        <v>65</v>
      </c>
      <c r="D22" s="2" t="s">
        <v>387</v>
      </c>
      <c r="E22" s="4">
        <v>44.61</v>
      </c>
      <c r="F22" s="4">
        <v>59.33</v>
      </c>
      <c r="G22" s="2" t="s">
        <v>388</v>
      </c>
    </row>
    <row r="23" spans="1:7">
      <c r="A23" s="2" t="s">
        <v>140</v>
      </c>
      <c r="B23" s="2" t="s">
        <v>404</v>
      </c>
      <c r="C23" s="2" t="s">
        <v>80</v>
      </c>
      <c r="D23" s="2" t="s">
        <v>405</v>
      </c>
      <c r="E23" s="4">
        <v>103.48</v>
      </c>
      <c r="F23" s="4">
        <v>127.78</v>
      </c>
      <c r="G23" s="2" t="s">
        <v>371</v>
      </c>
    </row>
    <row r="24" spans="1:7">
      <c r="A24" s="2" t="s">
        <v>78</v>
      </c>
      <c r="B24" s="2" t="s">
        <v>406</v>
      </c>
      <c r="C24" s="2" t="s">
        <v>80</v>
      </c>
      <c r="D24" s="2" t="s">
        <v>373</v>
      </c>
      <c r="E24" s="4">
        <v>124.48</v>
      </c>
      <c r="F24" s="4">
        <v>146.47999999999999</v>
      </c>
      <c r="G24" s="2" t="s">
        <v>393</v>
      </c>
    </row>
    <row r="25" spans="1:7">
      <c r="A25" s="2" t="s">
        <v>207</v>
      </c>
      <c r="B25" s="2" t="s">
        <v>407</v>
      </c>
      <c r="C25" s="2" t="s">
        <v>80</v>
      </c>
      <c r="D25" s="2" t="s">
        <v>387</v>
      </c>
      <c r="E25" s="4">
        <v>123.62</v>
      </c>
      <c r="F25" s="4">
        <v>155.08000000000001</v>
      </c>
      <c r="G25" s="2" t="s">
        <v>385</v>
      </c>
    </row>
    <row r="26" spans="1:7">
      <c r="A26" s="2" t="s">
        <v>154</v>
      </c>
      <c r="B26" s="2" t="s">
        <v>408</v>
      </c>
      <c r="C26" s="2" t="s">
        <v>80</v>
      </c>
      <c r="D26" s="2" t="s">
        <v>383</v>
      </c>
      <c r="E26" s="4">
        <v>163.52000000000001</v>
      </c>
      <c r="F26" s="4">
        <v>220.65</v>
      </c>
      <c r="G26" s="2" t="s">
        <v>393</v>
      </c>
    </row>
    <row r="27" spans="1:7">
      <c r="A27" s="2" t="s">
        <v>108</v>
      </c>
      <c r="B27" s="2" t="s">
        <v>409</v>
      </c>
      <c r="C27" s="2" t="s">
        <v>25</v>
      </c>
      <c r="D27" s="2" t="s">
        <v>376</v>
      </c>
      <c r="E27" s="4">
        <v>216.39</v>
      </c>
      <c r="F27" s="4">
        <v>279.97000000000003</v>
      </c>
      <c r="G27" s="2" t="s">
        <v>371</v>
      </c>
    </row>
    <row r="28" spans="1:7">
      <c r="A28" s="2" t="s">
        <v>156</v>
      </c>
      <c r="B28" s="2" t="s">
        <v>410</v>
      </c>
      <c r="C28" s="2" t="s">
        <v>25</v>
      </c>
      <c r="D28" s="2" t="s">
        <v>379</v>
      </c>
      <c r="E28" s="4">
        <v>270.23</v>
      </c>
      <c r="F28" s="4">
        <v>351.89</v>
      </c>
      <c r="G28" s="2" t="s">
        <v>393</v>
      </c>
    </row>
    <row r="29" spans="1:7">
      <c r="A29" s="2" t="s">
        <v>124</v>
      </c>
      <c r="B29" s="2" t="s">
        <v>411</v>
      </c>
      <c r="C29" s="2" t="s">
        <v>25</v>
      </c>
      <c r="D29" s="2" t="s">
        <v>405</v>
      </c>
      <c r="E29" s="4">
        <v>43.54</v>
      </c>
      <c r="F29" s="4">
        <v>52.59</v>
      </c>
      <c r="G29" s="2" t="s">
        <v>393</v>
      </c>
    </row>
    <row r="30" spans="1:7">
      <c r="A30" s="2" t="s">
        <v>21</v>
      </c>
      <c r="B30" s="2" t="s">
        <v>412</v>
      </c>
      <c r="C30" s="2" t="s">
        <v>25</v>
      </c>
      <c r="D30" s="2" t="s">
        <v>381</v>
      </c>
      <c r="E30" s="4">
        <v>119.07</v>
      </c>
      <c r="F30" s="4">
        <v>148.51</v>
      </c>
      <c r="G30" s="2" t="s">
        <v>374</v>
      </c>
    </row>
    <row r="31" spans="1:7">
      <c r="A31" s="2" t="s">
        <v>96</v>
      </c>
      <c r="B31" s="2" t="s">
        <v>413</v>
      </c>
      <c r="C31" s="2" t="s">
        <v>25</v>
      </c>
      <c r="D31" s="2" t="s">
        <v>370</v>
      </c>
      <c r="E31" s="4">
        <v>292.05</v>
      </c>
      <c r="F31" s="4">
        <v>363.17</v>
      </c>
      <c r="G31" s="2" t="s">
        <v>388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topLeftCell="G1" workbookViewId="0">
      <selection activeCell="C1" sqref="C1:G1"/>
    </sheetView>
  </sheetViews>
  <sheetFormatPr defaultRowHeight="14.25"/>
  <cols>
    <col min="1" max="1" width="12" customWidth="1"/>
    <col min="2" max="2" width="22" customWidth="1"/>
    <col min="3" max="3" width="10" customWidth="1"/>
    <col min="4" max="4" width="8" customWidth="1"/>
    <col min="5" max="5" width="16" customWidth="1"/>
    <col min="6" max="7" width="14" customWidth="1"/>
  </cols>
  <sheetData>
    <row r="1" spans="1:7" ht="30">
      <c r="A1" s="1" t="s">
        <v>2</v>
      </c>
      <c r="B1" s="1" t="s">
        <v>414</v>
      </c>
      <c r="C1" s="1" t="s">
        <v>415</v>
      </c>
      <c r="D1" s="1" t="s">
        <v>416</v>
      </c>
      <c r="E1" s="1" t="s">
        <v>417</v>
      </c>
      <c r="F1" s="1" t="s">
        <v>418</v>
      </c>
      <c r="G1" s="1" t="s">
        <v>419</v>
      </c>
    </row>
    <row r="2" spans="1:7">
      <c r="A2" s="2" t="s">
        <v>121</v>
      </c>
      <c r="B2" s="2" t="s">
        <v>420</v>
      </c>
      <c r="C2" s="2" t="s">
        <v>421</v>
      </c>
      <c r="D2" s="2">
        <v>28</v>
      </c>
      <c r="E2" s="2" t="s">
        <v>422</v>
      </c>
      <c r="F2" s="2" t="s">
        <v>423</v>
      </c>
      <c r="G2" s="5">
        <v>45927</v>
      </c>
    </row>
    <row r="3" spans="1:7">
      <c r="A3" s="2" t="s">
        <v>251</v>
      </c>
      <c r="B3" s="2" t="s">
        <v>424</v>
      </c>
      <c r="C3" s="2" t="s">
        <v>425</v>
      </c>
      <c r="D3" s="2">
        <v>58</v>
      </c>
      <c r="E3" s="2" t="s">
        <v>426</v>
      </c>
      <c r="F3" s="2" t="s">
        <v>427</v>
      </c>
      <c r="G3" s="5">
        <v>46177</v>
      </c>
    </row>
    <row r="4" spans="1:7">
      <c r="A4" s="2" t="s">
        <v>153</v>
      </c>
      <c r="B4" s="2" t="s">
        <v>428</v>
      </c>
      <c r="C4" s="2" t="s">
        <v>425</v>
      </c>
      <c r="D4" s="2">
        <v>41</v>
      </c>
      <c r="E4" s="2" t="s">
        <v>429</v>
      </c>
      <c r="F4" s="2" t="s">
        <v>423</v>
      </c>
      <c r="G4" s="5">
        <v>46201</v>
      </c>
    </row>
    <row r="5" spans="1:7">
      <c r="A5" s="2" t="s">
        <v>221</v>
      </c>
      <c r="B5" s="2" t="s">
        <v>430</v>
      </c>
      <c r="C5" s="2" t="s">
        <v>421</v>
      </c>
      <c r="D5" s="2">
        <v>49</v>
      </c>
      <c r="E5" s="2" t="s">
        <v>431</v>
      </c>
      <c r="F5" s="2" t="s">
        <v>423</v>
      </c>
      <c r="G5" s="5">
        <v>46029</v>
      </c>
    </row>
    <row r="6" spans="1:7">
      <c r="A6" s="2" t="s">
        <v>28</v>
      </c>
      <c r="B6" s="2" t="s">
        <v>432</v>
      </c>
      <c r="C6" s="2" t="s">
        <v>425</v>
      </c>
      <c r="D6" s="2">
        <v>33</v>
      </c>
      <c r="E6" s="2" t="s">
        <v>433</v>
      </c>
      <c r="F6" s="2" t="s">
        <v>434</v>
      </c>
      <c r="G6" s="5">
        <v>45745</v>
      </c>
    </row>
    <row r="7" spans="1:7">
      <c r="A7" s="2" t="s">
        <v>105</v>
      </c>
      <c r="B7" s="2" t="s">
        <v>435</v>
      </c>
      <c r="C7" s="2" t="s">
        <v>425</v>
      </c>
      <c r="D7" s="2">
        <v>26</v>
      </c>
      <c r="E7" s="2" t="s">
        <v>436</v>
      </c>
      <c r="F7" s="2" t="s">
        <v>423</v>
      </c>
      <c r="G7" s="5">
        <v>46220</v>
      </c>
    </row>
    <row r="8" spans="1:7">
      <c r="A8" s="2" t="s">
        <v>186</v>
      </c>
      <c r="B8" s="2" t="s">
        <v>437</v>
      </c>
      <c r="C8" s="2" t="s">
        <v>421</v>
      </c>
      <c r="D8" s="2">
        <v>31</v>
      </c>
      <c r="E8" s="2" t="s">
        <v>433</v>
      </c>
      <c r="F8" s="2" t="s">
        <v>427</v>
      </c>
      <c r="G8" s="5">
        <v>45863</v>
      </c>
    </row>
    <row r="9" spans="1:7">
      <c r="A9" s="2" t="s">
        <v>143</v>
      </c>
      <c r="B9" s="2" t="s">
        <v>438</v>
      </c>
      <c r="C9" s="2" t="s">
        <v>421</v>
      </c>
      <c r="D9" s="2">
        <v>46</v>
      </c>
      <c r="E9" s="2" t="s">
        <v>433</v>
      </c>
      <c r="F9" s="2" t="s">
        <v>423</v>
      </c>
      <c r="G9" s="5">
        <v>45911</v>
      </c>
    </row>
    <row r="10" spans="1:7">
      <c r="A10" s="2" t="s">
        <v>227</v>
      </c>
      <c r="B10" s="2" t="s">
        <v>439</v>
      </c>
      <c r="C10" s="2" t="s">
        <v>421</v>
      </c>
      <c r="D10" s="2">
        <v>19</v>
      </c>
      <c r="E10" s="2" t="s">
        <v>433</v>
      </c>
      <c r="F10" s="2" t="s">
        <v>427</v>
      </c>
      <c r="G10" s="5">
        <v>45883</v>
      </c>
    </row>
    <row r="11" spans="1:7">
      <c r="A11" s="2" t="s">
        <v>254</v>
      </c>
      <c r="B11" s="2" t="s">
        <v>440</v>
      </c>
      <c r="C11" s="2" t="s">
        <v>425</v>
      </c>
      <c r="D11" s="2">
        <v>32</v>
      </c>
      <c r="E11" s="2" t="s">
        <v>431</v>
      </c>
      <c r="F11" s="2" t="s">
        <v>434</v>
      </c>
      <c r="G11" s="5">
        <v>45996</v>
      </c>
    </row>
    <row r="12" spans="1:7">
      <c r="A12" s="2" t="s">
        <v>72</v>
      </c>
      <c r="B12" s="2" t="s">
        <v>441</v>
      </c>
      <c r="C12" s="2" t="s">
        <v>425</v>
      </c>
      <c r="D12" s="2">
        <v>35</v>
      </c>
      <c r="E12" s="2" t="s">
        <v>436</v>
      </c>
      <c r="F12" s="2" t="s">
        <v>423</v>
      </c>
      <c r="G12" s="5">
        <v>46210</v>
      </c>
    </row>
    <row r="13" spans="1:7">
      <c r="A13" s="2" t="s">
        <v>312</v>
      </c>
      <c r="B13" s="2" t="s">
        <v>442</v>
      </c>
      <c r="C13" s="2" t="s">
        <v>421</v>
      </c>
      <c r="D13" s="2">
        <v>33</v>
      </c>
      <c r="E13" s="2" t="s">
        <v>422</v>
      </c>
      <c r="F13" s="2" t="s">
        <v>427</v>
      </c>
      <c r="G13" s="5">
        <v>45852</v>
      </c>
    </row>
    <row r="14" spans="1:7">
      <c r="A14" s="2" t="s">
        <v>443</v>
      </c>
      <c r="B14" s="2" t="s">
        <v>444</v>
      </c>
      <c r="C14" s="2" t="s">
        <v>421</v>
      </c>
      <c r="D14" s="2">
        <v>40</v>
      </c>
      <c r="E14" s="2" t="s">
        <v>422</v>
      </c>
      <c r="F14" s="2" t="s">
        <v>423</v>
      </c>
      <c r="G14" s="5">
        <v>45713</v>
      </c>
    </row>
    <row r="15" spans="1:7">
      <c r="A15" s="2" t="s">
        <v>224</v>
      </c>
      <c r="B15" s="2" t="s">
        <v>445</v>
      </c>
      <c r="C15" s="2" t="s">
        <v>421</v>
      </c>
      <c r="D15" s="2">
        <v>64</v>
      </c>
      <c r="E15" s="2" t="s">
        <v>426</v>
      </c>
      <c r="F15" s="2" t="s">
        <v>427</v>
      </c>
      <c r="G15" s="5">
        <v>45769</v>
      </c>
    </row>
    <row r="16" spans="1:7">
      <c r="A16" s="2" t="s">
        <v>446</v>
      </c>
      <c r="B16" s="2" t="s">
        <v>447</v>
      </c>
      <c r="C16" s="2" t="s">
        <v>425</v>
      </c>
      <c r="D16" s="2">
        <v>52</v>
      </c>
      <c r="E16" s="2" t="s">
        <v>422</v>
      </c>
      <c r="F16" s="2" t="s">
        <v>423</v>
      </c>
      <c r="G16" s="5">
        <v>45845</v>
      </c>
    </row>
    <row r="17" spans="1:7">
      <c r="A17" s="2" t="s">
        <v>68</v>
      </c>
      <c r="B17" s="2" t="s">
        <v>448</v>
      </c>
      <c r="C17" s="2" t="s">
        <v>425</v>
      </c>
      <c r="D17" s="2">
        <v>22</v>
      </c>
      <c r="E17" s="2" t="s">
        <v>422</v>
      </c>
      <c r="F17" s="2" t="s">
        <v>427</v>
      </c>
      <c r="G17" s="5">
        <v>46221</v>
      </c>
    </row>
    <row r="18" spans="1:7">
      <c r="A18" s="2" t="s">
        <v>231</v>
      </c>
      <c r="B18" s="2" t="s">
        <v>445</v>
      </c>
      <c r="C18" s="2" t="s">
        <v>425</v>
      </c>
      <c r="D18" s="2">
        <v>23</v>
      </c>
      <c r="E18" s="2" t="s">
        <v>429</v>
      </c>
      <c r="F18" s="2" t="s">
        <v>423</v>
      </c>
      <c r="G18" s="5">
        <v>46155</v>
      </c>
    </row>
    <row r="19" spans="1:7">
      <c r="A19" s="2" t="s">
        <v>114</v>
      </c>
      <c r="B19" s="2" t="s">
        <v>449</v>
      </c>
      <c r="C19" s="2" t="s">
        <v>421</v>
      </c>
      <c r="D19" s="2">
        <v>21</v>
      </c>
      <c r="E19" s="2" t="s">
        <v>429</v>
      </c>
      <c r="F19" s="2" t="s">
        <v>423</v>
      </c>
      <c r="G19" s="5">
        <v>46057</v>
      </c>
    </row>
    <row r="20" spans="1:7">
      <c r="A20" s="2" t="s">
        <v>450</v>
      </c>
      <c r="B20" s="2" t="s">
        <v>448</v>
      </c>
      <c r="C20" s="2" t="s">
        <v>421</v>
      </c>
      <c r="D20" s="2">
        <v>45</v>
      </c>
      <c r="E20" s="2" t="s">
        <v>436</v>
      </c>
      <c r="F20" s="2" t="s">
        <v>434</v>
      </c>
      <c r="G20" s="5">
        <v>46227</v>
      </c>
    </row>
    <row r="21" spans="1:7">
      <c r="A21" s="2" t="s">
        <v>205</v>
      </c>
      <c r="B21" s="2" t="s">
        <v>451</v>
      </c>
      <c r="C21" s="2" t="s">
        <v>425</v>
      </c>
      <c r="D21" s="2">
        <v>36</v>
      </c>
      <c r="E21" s="2" t="s">
        <v>429</v>
      </c>
      <c r="F21" s="2" t="s">
        <v>434</v>
      </c>
      <c r="G21" s="5">
        <v>46251</v>
      </c>
    </row>
    <row r="22" spans="1:7">
      <c r="A22" s="2" t="s">
        <v>20</v>
      </c>
      <c r="B22" s="2" t="s">
        <v>452</v>
      </c>
      <c r="C22" s="2" t="s">
        <v>421</v>
      </c>
      <c r="D22" s="2">
        <v>21</v>
      </c>
      <c r="E22" s="2" t="s">
        <v>431</v>
      </c>
      <c r="F22" s="2" t="s">
        <v>427</v>
      </c>
      <c r="G22" s="5">
        <v>46172</v>
      </c>
    </row>
    <row r="23" spans="1:7">
      <c r="A23" s="2" t="s">
        <v>99</v>
      </c>
      <c r="B23" s="2" t="s">
        <v>424</v>
      </c>
      <c r="C23" s="2" t="s">
        <v>425</v>
      </c>
      <c r="D23" s="2">
        <v>50</v>
      </c>
      <c r="E23" s="2" t="s">
        <v>431</v>
      </c>
      <c r="F23" s="2" t="s">
        <v>434</v>
      </c>
      <c r="G23" s="5">
        <v>45728</v>
      </c>
    </row>
    <row r="24" spans="1:7">
      <c r="A24" s="2" t="s">
        <v>38</v>
      </c>
      <c r="B24" s="2" t="s">
        <v>453</v>
      </c>
      <c r="C24" s="2" t="s">
        <v>425</v>
      </c>
      <c r="D24" s="2">
        <v>43</v>
      </c>
      <c r="E24" s="2" t="s">
        <v>431</v>
      </c>
      <c r="F24" s="2" t="s">
        <v>434</v>
      </c>
      <c r="G24" s="5">
        <v>46241</v>
      </c>
    </row>
    <row r="25" spans="1:7">
      <c r="A25" s="2" t="s">
        <v>249</v>
      </c>
      <c r="B25" s="2" t="s">
        <v>454</v>
      </c>
      <c r="C25" s="2" t="s">
        <v>425</v>
      </c>
      <c r="D25" s="2">
        <v>57</v>
      </c>
      <c r="E25" s="2" t="s">
        <v>431</v>
      </c>
      <c r="F25" s="2" t="s">
        <v>423</v>
      </c>
      <c r="G25" s="5">
        <v>46255</v>
      </c>
    </row>
    <row r="26" spans="1:7">
      <c r="A26" s="2" t="s">
        <v>33</v>
      </c>
      <c r="B26" s="2" t="s">
        <v>455</v>
      </c>
      <c r="C26" s="2" t="s">
        <v>421</v>
      </c>
      <c r="D26" s="2">
        <v>34</v>
      </c>
      <c r="E26" s="2" t="s">
        <v>429</v>
      </c>
      <c r="F26" s="2" t="s">
        <v>427</v>
      </c>
      <c r="G26" s="5">
        <v>45979</v>
      </c>
    </row>
    <row r="27" spans="1:7">
      <c r="A27" s="2" t="s">
        <v>456</v>
      </c>
      <c r="B27" s="2" t="s">
        <v>457</v>
      </c>
      <c r="C27" s="2" t="s">
        <v>421</v>
      </c>
      <c r="D27" s="2">
        <v>26</v>
      </c>
      <c r="E27" s="2" t="s">
        <v>436</v>
      </c>
      <c r="F27" s="2" t="s">
        <v>427</v>
      </c>
      <c r="G27" s="5">
        <v>46126</v>
      </c>
    </row>
    <row r="28" spans="1:7">
      <c r="A28" s="2" t="s">
        <v>189</v>
      </c>
      <c r="B28" s="2" t="s">
        <v>458</v>
      </c>
      <c r="C28" s="2" t="s">
        <v>425</v>
      </c>
      <c r="D28" s="2">
        <v>47</v>
      </c>
      <c r="E28" s="2" t="s">
        <v>433</v>
      </c>
      <c r="F28" s="2" t="s">
        <v>434</v>
      </c>
      <c r="G28" s="5">
        <v>45760</v>
      </c>
    </row>
    <row r="29" spans="1:7">
      <c r="A29" s="2" t="s">
        <v>242</v>
      </c>
      <c r="B29" s="2" t="s">
        <v>441</v>
      </c>
      <c r="C29" s="2" t="s">
        <v>425</v>
      </c>
      <c r="D29" s="2">
        <v>50</v>
      </c>
      <c r="E29" s="2" t="s">
        <v>426</v>
      </c>
      <c r="F29" s="2" t="s">
        <v>423</v>
      </c>
      <c r="G29" s="5">
        <v>46015</v>
      </c>
    </row>
    <row r="30" spans="1:7">
      <c r="A30" s="2" t="s">
        <v>107</v>
      </c>
      <c r="B30" s="2" t="s">
        <v>459</v>
      </c>
      <c r="C30" s="2" t="s">
        <v>421</v>
      </c>
      <c r="D30" s="2">
        <v>36</v>
      </c>
      <c r="E30" s="2" t="s">
        <v>429</v>
      </c>
      <c r="F30" s="2" t="s">
        <v>423</v>
      </c>
      <c r="G30" s="5">
        <v>46214</v>
      </c>
    </row>
    <row r="31" spans="1:7">
      <c r="A31" s="2" t="s">
        <v>169</v>
      </c>
      <c r="B31" s="2" t="s">
        <v>460</v>
      </c>
      <c r="C31" s="2" t="s">
        <v>425</v>
      </c>
      <c r="D31" s="2">
        <v>60</v>
      </c>
      <c r="E31" s="2" t="s">
        <v>433</v>
      </c>
      <c r="F31" s="2" t="s">
        <v>423</v>
      </c>
      <c r="G31" s="5">
        <v>45764</v>
      </c>
    </row>
    <row r="32" spans="1:7">
      <c r="A32" s="2" t="s">
        <v>110</v>
      </c>
      <c r="B32" s="2" t="s">
        <v>461</v>
      </c>
      <c r="C32" s="2" t="s">
        <v>425</v>
      </c>
      <c r="D32" s="2">
        <v>24</v>
      </c>
      <c r="E32" s="2" t="s">
        <v>436</v>
      </c>
      <c r="F32" s="2" t="s">
        <v>427</v>
      </c>
      <c r="G32" s="5">
        <v>45936</v>
      </c>
    </row>
    <row r="33" spans="1:7">
      <c r="A33" s="2" t="s">
        <v>44</v>
      </c>
      <c r="B33" s="2" t="s">
        <v>460</v>
      </c>
      <c r="C33" s="2" t="s">
        <v>425</v>
      </c>
      <c r="D33" s="2">
        <v>63</v>
      </c>
      <c r="E33" s="2" t="s">
        <v>426</v>
      </c>
      <c r="F33" s="2" t="s">
        <v>423</v>
      </c>
      <c r="G33" s="5">
        <v>45928</v>
      </c>
    </row>
    <row r="34" spans="1:7">
      <c r="A34" s="2" t="s">
        <v>282</v>
      </c>
      <c r="B34" s="2" t="s">
        <v>462</v>
      </c>
      <c r="C34" s="2" t="s">
        <v>421</v>
      </c>
      <c r="D34" s="2">
        <v>21</v>
      </c>
      <c r="E34" s="2" t="s">
        <v>431</v>
      </c>
      <c r="F34" s="2" t="s">
        <v>427</v>
      </c>
      <c r="G34" s="5">
        <v>45941</v>
      </c>
    </row>
    <row r="35" spans="1:7">
      <c r="A35" s="2" t="s">
        <v>272</v>
      </c>
      <c r="B35" s="2" t="s">
        <v>463</v>
      </c>
      <c r="C35" s="2" t="s">
        <v>421</v>
      </c>
      <c r="D35" s="2">
        <v>67</v>
      </c>
      <c r="E35" s="2" t="s">
        <v>429</v>
      </c>
      <c r="F35" s="2" t="s">
        <v>427</v>
      </c>
      <c r="G35" s="5">
        <v>45926</v>
      </c>
    </row>
    <row r="36" spans="1:7">
      <c r="A36" s="2" t="s">
        <v>296</v>
      </c>
      <c r="B36" s="2" t="s">
        <v>464</v>
      </c>
      <c r="C36" s="2" t="s">
        <v>421</v>
      </c>
      <c r="D36" s="2">
        <v>53</v>
      </c>
      <c r="E36" s="2" t="s">
        <v>431</v>
      </c>
      <c r="F36" s="2" t="s">
        <v>423</v>
      </c>
      <c r="G36" s="5">
        <v>45810</v>
      </c>
    </row>
    <row r="37" spans="1:7">
      <c r="A37" s="2" t="s">
        <v>336</v>
      </c>
      <c r="B37" s="2" t="s">
        <v>452</v>
      </c>
      <c r="C37" s="2" t="s">
        <v>421</v>
      </c>
      <c r="D37" s="2">
        <v>55</v>
      </c>
      <c r="E37" s="2" t="s">
        <v>433</v>
      </c>
      <c r="F37" s="2" t="s">
        <v>423</v>
      </c>
      <c r="G37" s="5">
        <v>45788</v>
      </c>
    </row>
    <row r="38" spans="1:7">
      <c r="A38" s="2" t="s">
        <v>134</v>
      </c>
      <c r="B38" s="2" t="s">
        <v>465</v>
      </c>
      <c r="C38" s="2" t="s">
        <v>421</v>
      </c>
      <c r="D38" s="2">
        <v>68</v>
      </c>
      <c r="E38" s="2" t="s">
        <v>431</v>
      </c>
      <c r="F38" s="2" t="s">
        <v>434</v>
      </c>
      <c r="G38" s="5">
        <v>45873</v>
      </c>
    </row>
    <row r="39" spans="1:7">
      <c r="A39" s="2" t="s">
        <v>76</v>
      </c>
      <c r="B39" s="2" t="s">
        <v>439</v>
      </c>
      <c r="C39" s="2" t="s">
        <v>421</v>
      </c>
      <c r="D39" s="2">
        <v>67</v>
      </c>
      <c r="E39" s="2" t="s">
        <v>433</v>
      </c>
      <c r="F39" s="2" t="s">
        <v>434</v>
      </c>
      <c r="G39" s="5">
        <v>46074</v>
      </c>
    </row>
    <row r="40" spans="1:7">
      <c r="A40" s="2" t="s">
        <v>293</v>
      </c>
      <c r="B40" s="2" t="s">
        <v>466</v>
      </c>
      <c r="C40" s="2" t="s">
        <v>425</v>
      </c>
      <c r="D40" s="2">
        <v>28</v>
      </c>
      <c r="E40" s="2" t="s">
        <v>429</v>
      </c>
      <c r="F40" s="2" t="s">
        <v>434</v>
      </c>
      <c r="G40" s="5">
        <v>45683</v>
      </c>
    </row>
    <row r="41" spans="1:7">
      <c r="A41" s="2" t="s">
        <v>191</v>
      </c>
      <c r="B41" s="2" t="s">
        <v>467</v>
      </c>
      <c r="C41" s="2" t="s">
        <v>421</v>
      </c>
      <c r="D41" s="2">
        <v>60</v>
      </c>
      <c r="E41" s="2" t="s">
        <v>436</v>
      </c>
      <c r="F41" s="2" t="s">
        <v>427</v>
      </c>
      <c r="G41" s="5">
        <v>45931</v>
      </c>
    </row>
    <row r="42" spans="1:7">
      <c r="A42" s="2" t="s">
        <v>12</v>
      </c>
      <c r="B42" s="2" t="s">
        <v>468</v>
      </c>
      <c r="C42" s="2" t="s">
        <v>421</v>
      </c>
      <c r="D42" s="2">
        <v>20</v>
      </c>
      <c r="E42" s="2" t="s">
        <v>422</v>
      </c>
      <c r="F42" s="2" t="s">
        <v>423</v>
      </c>
      <c r="G42" s="5">
        <v>46129</v>
      </c>
    </row>
    <row r="43" spans="1:7">
      <c r="A43" s="2" t="s">
        <v>87</v>
      </c>
      <c r="B43" s="2" t="s">
        <v>469</v>
      </c>
      <c r="C43" s="2" t="s">
        <v>425</v>
      </c>
      <c r="D43" s="2">
        <v>32</v>
      </c>
      <c r="E43" s="2" t="s">
        <v>431</v>
      </c>
      <c r="F43" s="2" t="s">
        <v>427</v>
      </c>
      <c r="G43" s="5">
        <v>46066</v>
      </c>
    </row>
    <row r="44" spans="1:7">
      <c r="A44" s="2" t="s">
        <v>51</v>
      </c>
      <c r="B44" s="2" t="s">
        <v>470</v>
      </c>
      <c r="C44" s="2" t="s">
        <v>425</v>
      </c>
      <c r="D44" s="2">
        <v>67</v>
      </c>
      <c r="E44" s="2" t="s">
        <v>426</v>
      </c>
      <c r="F44" s="2" t="s">
        <v>423</v>
      </c>
      <c r="G44" s="5">
        <v>46179</v>
      </c>
    </row>
    <row r="45" spans="1:7">
      <c r="A45" s="2" t="s">
        <v>202</v>
      </c>
      <c r="B45" s="2" t="s">
        <v>471</v>
      </c>
      <c r="C45" s="2" t="s">
        <v>421</v>
      </c>
      <c r="D45" s="2">
        <v>19</v>
      </c>
      <c r="E45" s="2" t="s">
        <v>431</v>
      </c>
      <c r="F45" s="2" t="s">
        <v>434</v>
      </c>
      <c r="G45" s="5">
        <v>45925</v>
      </c>
    </row>
    <row r="46" spans="1:7">
      <c r="A46" s="2" t="s">
        <v>147</v>
      </c>
      <c r="B46" s="2" t="s">
        <v>472</v>
      </c>
      <c r="C46" s="2" t="s">
        <v>421</v>
      </c>
      <c r="D46" s="2">
        <v>20</v>
      </c>
      <c r="E46" s="2" t="s">
        <v>431</v>
      </c>
      <c r="F46" s="2" t="s">
        <v>427</v>
      </c>
      <c r="G46" s="5">
        <v>46011</v>
      </c>
    </row>
    <row r="47" spans="1:7">
      <c r="A47" s="2" t="s">
        <v>90</v>
      </c>
      <c r="B47" s="2" t="s">
        <v>473</v>
      </c>
      <c r="C47" s="2" t="s">
        <v>425</v>
      </c>
      <c r="D47" s="2">
        <v>42</v>
      </c>
      <c r="E47" s="2" t="s">
        <v>433</v>
      </c>
      <c r="F47" s="2" t="s">
        <v>423</v>
      </c>
      <c r="G47" s="5">
        <v>45703</v>
      </c>
    </row>
    <row r="48" spans="1:7">
      <c r="A48" s="2" t="s">
        <v>235</v>
      </c>
      <c r="B48" s="2" t="s">
        <v>474</v>
      </c>
      <c r="C48" s="2" t="s">
        <v>425</v>
      </c>
      <c r="D48" s="2">
        <v>41</v>
      </c>
      <c r="E48" s="2" t="s">
        <v>422</v>
      </c>
      <c r="F48" s="2" t="s">
        <v>423</v>
      </c>
      <c r="G48" s="5">
        <v>45996</v>
      </c>
    </row>
    <row r="49" spans="1:7">
      <c r="A49" s="2" t="s">
        <v>264</v>
      </c>
      <c r="B49" s="2" t="s">
        <v>475</v>
      </c>
      <c r="C49" s="2" t="s">
        <v>425</v>
      </c>
      <c r="D49" s="2">
        <v>64</v>
      </c>
      <c r="E49" s="2" t="s">
        <v>426</v>
      </c>
      <c r="F49" s="2" t="s">
        <v>423</v>
      </c>
      <c r="G49" s="5">
        <v>46076</v>
      </c>
    </row>
    <row r="50" spans="1:7">
      <c r="A50" s="2" t="s">
        <v>116</v>
      </c>
      <c r="B50" s="2" t="s">
        <v>473</v>
      </c>
      <c r="C50" s="2" t="s">
        <v>421</v>
      </c>
      <c r="D50" s="2">
        <v>53</v>
      </c>
      <c r="E50" s="2" t="s">
        <v>429</v>
      </c>
      <c r="F50" s="2" t="s">
        <v>423</v>
      </c>
      <c r="G50" s="5">
        <v>46046</v>
      </c>
    </row>
    <row r="51" spans="1:7">
      <c r="A51" s="2" t="s">
        <v>62</v>
      </c>
      <c r="B51" s="2" t="s">
        <v>472</v>
      </c>
      <c r="C51" s="2" t="s">
        <v>421</v>
      </c>
      <c r="D51" s="2">
        <v>43</v>
      </c>
      <c r="E51" s="2" t="s">
        <v>433</v>
      </c>
      <c r="F51" s="2" t="s">
        <v>427</v>
      </c>
      <c r="G51" s="5">
        <v>45969</v>
      </c>
    </row>
    <row r="52" spans="1:7">
      <c r="A52" s="2" t="s">
        <v>83</v>
      </c>
      <c r="B52" s="2" t="s">
        <v>432</v>
      </c>
      <c r="C52" s="2" t="s">
        <v>421</v>
      </c>
      <c r="D52" s="2">
        <v>68</v>
      </c>
      <c r="E52" s="2" t="s">
        <v>433</v>
      </c>
      <c r="F52" s="2" t="s">
        <v>427</v>
      </c>
      <c r="G52" s="5">
        <v>45987</v>
      </c>
    </row>
    <row r="53" spans="1:7">
      <c r="A53" s="2" t="s">
        <v>299</v>
      </c>
      <c r="B53" s="2" t="s">
        <v>476</v>
      </c>
      <c r="C53" s="2" t="s">
        <v>421</v>
      </c>
      <c r="D53" s="2">
        <v>61</v>
      </c>
      <c r="E53" s="2" t="s">
        <v>429</v>
      </c>
      <c r="F53" s="2" t="s">
        <v>423</v>
      </c>
      <c r="G53" s="5">
        <v>45831</v>
      </c>
    </row>
    <row r="54" spans="1:7">
      <c r="A54" s="2" t="s">
        <v>477</v>
      </c>
      <c r="B54" s="2" t="s">
        <v>478</v>
      </c>
      <c r="C54" s="2" t="s">
        <v>421</v>
      </c>
      <c r="D54" s="2">
        <v>23</v>
      </c>
      <c r="E54" s="2" t="s">
        <v>429</v>
      </c>
      <c r="F54" s="2" t="s">
        <v>427</v>
      </c>
      <c r="G54" s="5">
        <v>45888</v>
      </c>
    </row>
    <row r="55" spans="1:7">
      <c r="A55" s="2" t="s">
        <v>47</v>
      </c>
      <c r="B55" s="2" t="s">
        <v>479</v>
      </c>
      <c r="C55" s="2" t="s">
        <v>425</v>
      </c>
      <c r="D55" s="2">
        <v>20</v>
      </c>
      <c r="E55" s="2" t="s">
        <v>429</v>
      </c>
      <c r="F55" s="2" t="s">
        <v>434</v>
      </c>
      <c r="G55" s="5">
        <v>45732</v>
      </c>
    </row>
    <row r="56" spans="1:7">
      <c r="A56" s="2" t="s">
        <v>183</v>
      </c>
      <c r="B56" s="2" t="s">
        <v>480</v>
      </c>
      <c r="C56" s="2" t="s">
        <v>425</v>
      </c>
      <c r="D56" s="2">
        <v>63</v>
      </c>
      <c r="E56" s="2" t="s">
        <v>436</v>
      </c>
      <c r="F56" s="2" t="s">
        <v>423</v>
      </c>
      <c r="G56" s="5">
        <v>46067</v>
      </c>
    </row>
    <row r="57" spans="1:7">
      <c r="A57" s="2" t="s">
        <v>179</v>
      </c>
      <c r="B57" s="2" t="s">
        <v>481</v>
      </c>
      <c r="C57" s="2" t="s">
        <v>425</v>
      </c>
      <c r="D57" s="2">
        <v>66</v>
      </c>
      <c r="E57" s="2" t="s">
        <v>431</v>
      </c>
      <c r="F57" s="2" t="s">
        <v>427</v>
      </c>
      <c r="G57" s="5">
        <v>45882</v>
      </c>
    </row>
    <row r="58" spans="1:7">
      <c r="A58" s="2" t="s">
        <v>257</v>
      </c>
      <c r="B58" s="2" t="s">
        <v>482</v>
      </c>
      <c r="C58" s="2" t="s">
        <v>421</v>
      </c>
      <c r="D58" s="2">
        <v>21</v>
      </c>
      <c r="E58" s="2" t="s">
        <v>433</v>
      </c>
      <c r="F58" s="2" t="s">
        <v>423</v>
      </c>
      <c r="G58" s="5">
        <v>45782</v>
      </c>
    </row>
    <row r="59" spans="1:7">
      <c r="A59" s="2" t="s">
        <v>483</v>
      </c>
      <c r="B59" s="2" t="s">
        <v>484</v>
      </c>
      <c r="C59" s="2" t="s">
        <v>421</v>
      </c>
      <c r="D59" s="2">
        <v>60</v>
      </c>
      <c r="E59" s="2" t="s">
        <v>433</v>
      </c>
      <c r="F59" s="2" t="s">
        <v>434</v>
      </c>
      <c r="G59" s="5">
        <v>45982</v>
      </c>
    </row>
    <row r="60" spans="1:7">
      <c r="A60" s="2" t="s">
        <v>209</v>
      </c>
      <c r="B60" s="2" t="s">
        <v>485</v>
      </c>
      <c r="C60" s="2" t="s">
        <v>421</v>
      </c>
      <c r="D60" s="2">
        <v>53</v>
      </c>
      <c r="E60" s="2" t="s">
        <v>422</v>
      </c>
      <c r="F60" s="2" t="s">
        <v>434</v>
      </c>
      <c r="G60" s="5">
        <v>46144</v>
      </c>
    </row>
    <row r="61" spans="1:7">
      <c r="A61" s="2" t="s">
        <v>167</v>
      </c>
      <c r="B61" s="2" t="s">
        <v>486</v>
      </c>
      <c r="C61" s="2" t="s">
        <v>425</v>
      </c>
      <c r="D61" s="2">
        <v>58</v>
      </c>
      <c r="E61" s="2" t="s">
        <v>426</v>
      </c>
      <c r="F61" s="2" t="s">
        <v>427</v>
      </c>
      <c r="G61" s="5">
        <v>46191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C906-06DA-45FA-A501-78022E6D7B44}">
  <dimension ref="B1:D4"/>
  <sheetViews>
    <sheetView workbookViewId="0">
      <selection activeCell="F10" sqref="F10"/>
    </sheetView>
  </sheetViews>
  <sheetFormatPr defaultRowHeight="14.25"/>
  <sheetData>
    <row r="1" spans="2:4">
      <c r="B1" s="35" t="s">
        <v>511</v>
      </c>
      <c r="C1" s="35"/>
      <c r="D1" s="35"/>
    </row>
    <row r="2" spans="2:4">
      <c r="B2" t="s">
        <v>508</v>
      </c>
    </row>
    <row r="3" spans="2:4">
      <c r="B3" t="s">
        <v>509</v>
      </c>
    </row>
    <row r="4" spans="2:4">
      <c r="B4" t="s">
        <v>510</v>
      </c>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Analyse</vt:lpstr>
      <vt:lpstr>Dashboard</vt:lpstr>
      <vt:lpstr>Sales_Raw</vt:lpstr>
      <vt:lpstr>Products_Master</vt:lpstr>
      <vt:lpstr>Customers_Master</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Anjutha B</cp:lastModifiedBy>
  <dcterms:modified xsi:type="dcterms:W3CDTF">2026-10-06T13:58:33Z</dcterms:modified>
</cp:coreProperties>
</file>